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defaultThemeVersion="124226"/>
  <mc:AlternateContent xmlns:mc="http://schemas.openxmlformats.org/markup-compatibility/2006">
    <mc:Choice Requires="x15">
      <x15ac:absPath xmlns:x15ac="http://schemas.microsoft.com/office/spreadsheetml/2010/11/ac" url="F:\USB 2025\Pruebas psicométricas\066 - Inventario Tipológico Myers Briggs (MBTI)\Inventario Tipológico Myers Briggs (MBTI)\"/>
    </mc:Choice>
  </mc:AlternateContent>
  <xr:revisionPtr revIDLastSave="0" documentId="13_ncr:1_{ECBD2E6F-4D20-4811-9000-296096435E18}" xr6:coauthVersionLast="47" xr6:coauthVersionMax="47" xr10:uidLastSave="{00000000-0000-0000-0000-000000000000}"/>
  <bookViews>
    <workbookView xWindow="-120" yWindow="-120" windowWidth="20730" windowHeight="11040" xr2:uid="{00000000-000D-0000-FFFF-FFFF00000000}"/>
  </bookViews>
  <sheets>
    <sheet name="Instrucciones" sheetId="23" r:id="rId1"/>
    <sheet name="Parte I" sheetId="1" r:id="rId2"/>
    <sheet name="Parte II" sheetId="2" r:id="rId3"/>
    <sheet name="Parte III" sheetId="3" r:id="rId4"/>
    <sheet name="Parte IV" sheetId="4" r:id="rId5"/>
    <sheet name="Resultados" sheetId="5" r:id="rId6"/>
    <sheet name="ISTJ" sheetId="22" r:id="rId7"/>
    <sheet name="ISTP" sheetId="21" r:id="rId8"/>
    <sheet name="ISFJ" sheetId="20" r:id="rId9"/>
    <sheet name="ISFP" sheetId="19" r:id="rId10"/>
    <sheet name="INFJ" sheetId="18" r:id="rId11"/>
    <sheet name="INFP" sheetId="17" r:id="rId12"/>
    <sheet name="INTJ" sheetId="16" r:id="rId13"/>
    <sheet name="INTP" sheetId="15" r:id="rId14"/>
    <sheet name="ESTP" sheetId="14" r:id="rId15"/>
    <sheet name="ESTJ" sheetId="13" r:id="rId16"/>
    <sheet name="ESFP" sheetId="12" r:id="rId17"/>
    <sheet name="ESFJ" sheetId="11" r:id="rId18"/>
    <sheet name="ENFP" sheetId="10" r:id="rId19"/>
    <sheet name="ENFJ" sheetId="9" r:id="rId20"/>
    <sheet name="ENTP" sheetId="8" r:id="rId21"/>
    <sheet name="ENTJ" sheetId="7" r:id="rId2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81" i="1" l="1"/>
  <c r="F80" i="1"/>
  <c r="F79" i="1"/>
  <c r="F78" i="1"/>
  <c r="F77" i="1"/>
  <c r="F76" i="1"/>
  <c r="F75" i="1"/>
  <c r="F74" i="1"/>
  <c r="F73" i="1"/>
  <c r="F72" i="1"/>
  <c r="F71" i="1"/>
  <c r="F70" i="1"/>
  <c r="F69" i="1"/>
  <c r="F68" i="1"/>
  <c r="F67" i="1"/>
  <c r="F66" i="1"/>
  <c r="F65" i="1"/>
  <c r="F64" i="1"/>
  <c r="F63" i="1"/>
  <c r="F62" i="1"/>
  <c r="F61" i="1"/>
  <c r="F60" i="1"/>
  <c r="F59" i="1"/>
  <c r="F58" i="1"/>
  <c r="F57" i="1"/>
  <c r="F56" i="1"/>
  <c r="F55" i="1"/>
  <c r="F54" i="1"/>
  <c r="F53" i="1"/>
  <c r="F52" i="1"/>
  <c r="F51" i="1"/>
  <c r="F50" i="1"/>
  <c r="F49" i="1"/>
  <c r="F48" i="1"/>
  <c r="F47" i="1"/>
  <c r="F46" i="1"/>
  <c r="F45" i="1"/>
  <c r="F44" i="1"/>
  <c r="F43" i="1"/>
  <c r="F42" i="1"/>
  <c r="F41" i="1"/>
  <c r="F40" i="1"/>
  <c r="F39" i="1"/>
  <c r="F38" i="1"/>
  <c r="F37" i="1"/>
  <c r="F36" i="1"/>
  <c r="B23" i="5" s="1"/>
  <c r="F35" i="1"/>
  <c r="F34" i="1"/>
  <c r="F33" i="1"/>
  <c r="F32" i="1"/>
  <c r="F31" i="1"/>
  <c r="F30" i="1"/>
  <c r="F29" i="1"/>
  <c r="F28" i="1"/>
  <c r="F27" i="1"/>
  <c r="F26" i="1"/>
  <c r="F25" i="1"/>
  <c r="F24" i="1"/>
  <c r="F23" i="1"/>
  <c r="F22" i="1"/>
  <c r="F21" i="1"/>
  <c r="F20" i="1"/>
  <c r="F19" i="1"/>
  <c r="F18" i="1"/>
  <c r="F17" i="1"/>
  <c r="F16" i="1"/>
  <c r="F15" i="1"/>
  <c r="F14" i="1"/>
  <c r="F13" i="1"/>
  <c r="F12" i="1"/>
  <c r="F11" i="1"/>
  <c r="F10" i="1"/>
  <c r="F9" i="1"/>
  <c r="F8" i="1"/>
  <c r="F7" i="1"/>
  <c r="F6" i="1"/>
  <c r="F5" i="1"/>
  <c r="E99" i="2"/>
  <c r="E98" i="2"/>
  <c r="E97" i="2"/>
  <c r="E96" i="2"/>
  <c r="E95" i="2"/>
  <c r="E94" i="2"/>
  <c r="E93" i="2"/>
  <c r="E92" i="2"/>
  <c r="E91" i="2"/>
  <c r="E90" i="2"/>
  <c r="E89" i="2"/>
  <c r="E88" i="2"/>
  <c r="E87" i="2"/>
  <c r="E86" i="2"/>
  <c r="E85" i="2"/>
  <c r="E84" i="2"/>
  <c r="E83" i="2"/>
  <c r="E82" i="2"/>
  <c r="E81" i="2"/>
  <c r="E80" i="2"/>
  <c r="E79" i="2"/>
  <c r="E78" i="2"/>
  <c r="E77" i="2"/>
  <c r="E76" i="2"/>
  <c r="E75" i="2"/>
  <c r="E74" i="2"/>
  <c r="E73" i="2"/>
  <c r="E72" i="2"/>
  <c r="E71" i="2"/>
  <c r="E70" i="2"/>
  <c r="E69" i="2"/>
  <c r="E68" i="2"/>
  <c r="E67" i="2"/>
  <c r="E66" i="2"/>
  <c r="E65" i="2"/>
  <c r="E64" i="2"/>
  <c r="E63" i="2"/>
  <c r="E62" i="2"/>
  <c r="E61" i="2"/>
  <c r="E60" i="2"/>
  <c r="E59" i="2"/>
  <c r="E58" i="2"/>
  <c r="E57" i="2"/>
  <c r="E56" i="2"/>
  <c r="E55" i="2"/>
  <c r="E54" i="2"/>
  <c r="E53" i="2"/>
  <c r="E52" i="2"/>
  <c r="E51" i="2"/>
  <c r="E50" i="2"/>
  <c r="E49" i="2"/>
  <c r="E48" i="2"/>
  <c r="E47" i="2"/>
  <c r="E46" i="2"/>
  <c r="E45" i="2"/>
  <c r="E44" i="2"/>
  <c r="E43" i="2"/>
  <c r="E42" i="2"/>
  <c r="E41" i="2"/>
  <c r="E40" i="2"/>
  <c r="E39" i="2"/>
  <c r="E38" i="2"/>
  <c r="E37" i="2"/>
  <c r="E36" i="2"/>
  <c r="E35" i="2"/>
  <c r="E34" i="2"/>
  <c r="E33" i="2"/>
  <c r="E32" i="2"/>
  <c r="E31" i="2"/>
  <c r="E30" i="2"/>
  <c r="E29" i="2"/>
  <c r="E28" i="2"/>
  <c r="E27" i="2"/>
  <c r="E26" i="2"/>
  <c r="E25" i="2"/>
  <c r="E24" i="2"/>
  <c r="E23" i="2"/>
  <c r="E22" i="2"/>
  <c r="E21" i="2"/>
  <c r="E20" i="2"/>
  <c r="E19" i="2"/>
  <c r="E18" i="2"/>
  <c r="E17" i="2"/>
  <c r="E16" i="2"/>
  <c r="E15" i="2"/>
  <c r="E14" i="2"/>
  <c r="E13" i="2"/>
  <c r="E12" i="2"/>
  <c r="E11" i="2"/>
  <c r="E10" i="2"/>
  <c r="E9" i="2"/>
  <c r="E8" i="2"/>
  <c r="E7" i="2"/>
  <c r="E6" i="2"/>
  <c r="E5" i="2"/>
  <c r="F63" i="3"/>
  <c r="F62" i="3"/>
  <c r="F61" i="3"/>
  <c r="F60" i="3"/>
  <c r="F59" i="3"/>
  <c r="F58" i="3"/>
  <c r="F57" i="3"/>
  <c r="F56" i="3"/>
  <c r="F55" i="3"/>
  <c r="F54" i="3"/>
  <c r="F53" i="3"/>
  <c r="D21" i="5" s="1"/>
  <c r="F52" i="3"/>
  <c r="F51" i="3"/>
  <c r="F50" i="3"/>
  <c r="F49" i="3"/>
  <c r="F48" i="3"/>
  <c r="F47" i="3"/>
  <c r="F46" i="3"/>
  <c r="F45" i="3"/>
  <c r="F44" i="3"/>
  <c r="F43" i="3"/>
  <c r="F42" i="3"/>
  <c r="F41" i="3"/>
  <c r="F40" i="3"/>
  <c r="F39" i="3"/>
  <c r="F38" i="3"/>
  <c r="F37" i="3"/>
  <c r="F36" i="3"/>
  <c r="F35" i="3"/>
  <c r="F34" i="3"/>
  <c r="F33" i="3"/>
  <c r="F32" i="3"/>
  <c r="F31" i="3"/>
  <c r="F30" i="3"/>
  <c r="F29" i="3"/>
  <c r="F28" i="3"/>
  <c r="F27" i="3"/>
  <c r="F26" i="3"/>
  <c r="F25" i="3"/>
  <c r="F24" i="3"/>
  <c r="F23" i="3"/>
  <c r="F22" i="3"/>
  <c r="F21" i="3"/>
  <c r="F20" i="3"/>
  <c r="F19" i="3"/>
  <c r="F18" i="3"/>
  <c r="F17" i="3"/>
  <c r="F16" i="3"/>
  <c r="F15" i="3"/>
  <c r="F14" i="3"/>
  <c r="F13" i="3"/>
  <c r="F12" i="3"/>
  <c r="F11" i="3"/>
  <c r="F10" i="3"/>
  <c r="F9" i="3"/>
  <c r="F8" i="3"/>
  <c r="F7" i="3"/>
  <c r="F6" i="3"/>
  <c r="F5" i="3"/>
  <c r="E48" i="4"/>
  <c r="E47" i="4"/>
  <c r="E46" i="4"/>
  <c r="E45" i="4"/>
  <c r="E44" i="4"/>
  <c r="E43" i="4"/>
  <c r="E42" i="4"/>
  <c r="E41" i="4"/>
  <c r="E40" i="4"/>
  <c r="E39" i="4"/>
  <c r="E38" i="4"/>
  <c r="E37" i="4"/>
  <c r="E36" i="4"/>
  <c r="E35" i="4"/>
  <c r="E34" i="4"/>
  <c r="E33" i="4"/>
  <c r="E32" i="4"/>
  <c r="E31" i="4"/>
  <c r="E30" i="4"/>
  <c r="E29" i="4"/>
  <c r="E28" i="4"/>
  <c r="E27" i="4"/>
  <c r="E26" i="4"/>
  <c r="E25" i="4"/>
  <c r="E24" i="4"/>
  <c r="E23" i="4"/>
  <c r="E22" i="4"/>
  <c r="E21" i="4"/>
  <c r="E20" i="4"/>
  <c r="E19" i="4"/>
  <c r="E18" i="4"/>
  <c r="E17" i="4"/>
  <c r="E16" i="4"/>
  <c r="E15" i="4"/>
  <c r="E14" i="4"/>
  <c r="E13" i="4"/>
  <c r="E12" i="4"/>
  <c r="E11" i="4"/>
  <c r="E10" i="4"/>
  <c r="E9" i="4"/>
  <c r="E8" i="4"/>
  <c r="E7" i="4"/>
  <c r="E6" i="4"/>
  <c r="E5" i="4"/>
  <c r="B20" i="5" l="1"/>
  <c r="B18" i="5"/>
  <c r="C23" i="5"/>
  <c r="C22" i="5"/>
  <c r="D25" i="5"/>
  <c r="E18" i="5"/>
  <c r="E20" i="5"/>
  <c r="E19" i="5"/>
  <c r="E22" i="5"/>
  <c r="E21" i="5"/>
  <c r="E24" i="5"/>
  <c r="E23" i="5"/>
  <c r="E25" i="5"/>
  <c r="D20" i="5"/>
  <c r="D18" i="5"/>
  <c r="D23" i="5"/>
  <c r="D24" i="5"/>
  <c r="D19" i="5"/>
  <c r="D22" i="5"/>
  <c r="C21" i="5"/>
  <c r="C24" i="5"/>
  <c r="C18" i="5"/>
  <c r="C20" i="5"/>
  <c r="C19" i="5"/>
  <c r="C25" i="5"/>
  <c r="B24" i="5"/>
  <c r="B21" i="5"/>
  <c r="B25" i="5"/>
  <c r="B22" i="5"/>
  <c r="B19" i="5"/>
  <c r="F23" i="5" l="1"/>
  <c r="F20" i="5"/>
  <c r="I7" i="5" s="1"/>
  <c r="F22" i="5"/>
  <c r="I9" i="5" s="1"/>
  <c r="F21" i="5"/>
  <c r="F25" i="5"/>
  <c r="J11" i="5" s="1"/>
  <c r="F19" i="5"/>
  <c r="F18" i="5"/>
  <c r="I5" i="5" s="1"/>
  <c r="F24" i="5"/>
  <c r="I11" i="5" s="1"/>
  <c r="B7" i="5" l="1"/>
  <c r="C7" i="5" s="1"/>
  <c r="B5" i="5"/>
  <c r="C5" i="5" s="1"/>
  <c r="J7" i="5"/>
  <c r="B6" i="5"/>
  <c r="C6" i="5" s="1"/>
  <c r="J9" i="5"/>
  <c r="B8" i="5"/>
  <c r="C8" i="5" s="1"/>
  <c r="J5" i="5"/>
</calcChain>
</file>

<file path=xl/sharedStrings.xml><?xml version="1.0" encoding="utf-8"?>
<sst xmlns="http://schemas.openxmlformats.org/spreadsheetml/2006/main" count="561" uniqueCount="345">
  <si>
    <t>Los ISFJ tienden a ser devotos y leales a su jefe e identificarse personalmente más que por medio de la institución. Esperan que otros, incluyendo a su jefe, sigan los procedimientos y se disgustan cuando la gente no se comporta como debería. Los ISFJ a menudo parecen sentirse personalmente responsables de que el personal de una institución o negocio siga las reglas y rutinas establecidas. A menudo tienen muy presente el nivel social que proporcionan los títulos, el ambiente, los puestos de importancia, y saben aprovecharse de esta circunstancia. Tienen muy presente también el valor de los recursos materiales y aborrecen el desaprovechamiento o abuso de estos recursos. Ahorrar, guardar para un futuro imprevisto, prepararse para emergenciasÑestas son acciones importantes.</t>
  </si>
  <si>
    <t>Los ISFJ puede que experimenten cierta incomodidad cuando los ponen en un puesto de autoridad sobre otros y tenderán a hacerlo todo ellos mismos más que insistir que otros hagan su trabajo propio. Como resultado, los ISFJ están con frecuencia sobrecargados de trabajo.</t>
  </si>
  <si>
    <t>Los ESTP son hombres y mujeres de acción. Cuando alguien que tenga esta personalidad se encuentre presente en un sitio, las cosas empiezan a pasar: se encienden las luces, toca la música, empieza la representación. Y una representación resulta para el ESTP, el emprendedor extraordinario, el diplomático internacional, el conciliador y el negociador por excelencia. Aproximadamente 13 por ciento de la población general son de este tipo extrovertido, sensorial, intelectual y perceptivo. Si se usara un solo adjetivo para describir a los ESTP, ingenioso sería el más adecuado.</t>
  </si>
  <si>
    <t>Los ENTP pueden entablar una conversación interesante puesto que saben seguir las complicadas expresiones de otros. Usan deliberadamente tácticas de debate para desarmar a sus oponentes, incluso cuando estos ÒoponentesÓ son íntimos amigos o colegas. Los ENTP son los más capacitados para mantener una posición de superioridad con relación a la persona a quien hablan. Aprecian la adaptabilidad e innovación y por eso responden con rapidez y destreza a cualquier cambio de postura de la otra persona. De hecho, puede que logren anticipar las ideas y respuestas que propone el interlocutor. El ENTP, gracias a su capacidad expresiva y motivadora, es a menudo el alma de la empresa. El ENTP puede ser un gran emprendedor y sabe aprovechar lo que tenga a mano, valiéndose de su ingeniosidad, para resolver cualquier problema que se le presente más que de la preparación de un plano detallado que le muestre la dirección a tomar. Unas cuantas anotaciones es todo lo que necesita para poner en accion cualquier idea, contando con su habilidad para improvisar según vaya desenvolviéndose el proyecto. A veces, por esta tendencia a depender de su ingenio e improvisación, descuidará atender a importantes preparativos necesarios para completar la labor. Después de repetidos fallos en situaciones en las que su improvisación no alcanzó los éxitos necesarios, el ENTP puede que encuentre modos para evitar dichas situaciones como sustituto a una preparación meticulosa.</t>
  </si>
  <si>
    <t>Los ISTJ saben operar con cifras difíciles y detalladas. Transmiten un mensaje de formalidad y estabilidad, lo cual los hace excelentes supervisores de, por ejemplo, una sección de un hospital, de una biblioteca, o de operaciones mercantiles. Tienen la capacidad de trabajar en pompas fúnebres, de ayudante o investigador legal. Maestros de escuelas superiores que se dedican a enseñar estudios mercantiles, economía doméstica, educación física y ciencias físicas serán ISTJ. También lo serán altos oficiales del Cuerpo Femenino del Ejército (Women's Army Corps). A menudo este tipo parece tener hielo en las venas porque la gente no sabe ver en un ISTJ su vulnerabilidad a la crítica.</t>
  </si>
  <si>
    <t>Ejecutivos de negocios, administradores y gerentes</t>
  </si>
  <si>
    <t>Oficinistas contables y financieros</t>
  </si>
  <si>
    <t>Policias y detectives</t>
  </si>
  <si>
    <t>Jueces</t>
  </si>
  <si>
    <t>Abogados</t>
  </si>
  <si>
    <t>Doctores y dentistas</t>
  </si>
  <si>
    <t>Programadores computacionales, analistas de sistemas y especialistas computacionales</t>
  </si>
  <si>
    <t>Líderes militares</t>
  </si>
  <si>
    <t>Carreras Asociadas</t>
  </si>
  <si>
    <t>Se lleva mejor con ESFP y ESTJ</t>
  </si>
  <si>
    <t>Los INFP presentan un aspecto tranquilo y agradable al mundo y parecen reservados e incluso tímidos. Aunque muestran una actitud poco comunicativa a otros, por dentro son todo lo contrario. Tienen una capacidad de cariño que no se encuentra en otros tipos. Quieren profundamente -- de hecho, apasionada­menta -- a unas pocas personas especiales o se dedican con tesón a una causa. Una palabra que capta a este tipo es idealista. A veces, esta característica los hace sentirse aislados, sobre todo teniendo en cuenta que se encuentra sólo un 1% entre la población general.</t>
  </si>
  <si>
    <t>Los INFP tienen un profundo sentido del honor que se deriva de sus principios internos. El INFP es el Príncipe o la Princesa de la mitología, el Campeón del Rey, el Defensor de la Fé y el Guardián del castillo. Sir Galahad y Juana de Arco son los prototipos de un INFP. Para entender a los INFP hay que entender su causa puesto que son capaces de grandes sacrificios por alguien o algo.</t>
  </si>
  <si>
    <t>Los INFP buscan unidad en su vida, unidad de cuerpo y mente, emociones e intelecto. A menudo tienen un trágico motivo sutil presente en sus vidas que otros no saben detectar. Su profunda dedicación a lo positivo y a las buenas causas hace que los INFP siempre estén alertas a lo negativo y al mal, lo cual puede formularse como una fascinación hacia lo profano. Así los INFP pueden vivir en una paradoja, atraídos por la pureza y la unidad, pero mirando sobre el hombro hacia lo sucio y lo profano. Cuando los INFP creen que han cedido a una tentación impura, se impondrán sacrificos como expiación. La reparación, sin embargo, ocurre dentro del INFP, quien no se siente motivado a hacerla pública.</t>
  </si>
  <si>
    <t>Los INFP prefieren el proceso basado en principios que el puramente lógico. Responden a lo bello sobre lo feo, lo bueno sobre lo malo y lo moral sobre lo inmoral. Ganan sus impresiones de un modo fluido, global y difuso. Les salen las metáforas y símiles naturalmente pero algo forzadas. Los INFP tienen un don para interpretar símbolos, al igual que para crearlos, y por eso escriben de un modo lírico. Muestran una tendencia a tomarse libertades deliberadas con la lógica. Al contrario de un NT, se toman la lógica como algo optativo. Los INFP, a veces asumirán una familiaridad innecesaria en un área puesto que su actitud impresionista y global de tratar a la realidad les impide registrar suficiente número de detalles como para conocerla a fondo. Los INFP tendrán dificultad pensando en términos de una estructura condicional; ven las cosas o reales o imaginarias y les impacientan las hipótesis.</t>
  </si>
  <si>
    <t>Los INFP se adaptan bien en el trabajo y aceptan nuevas ideas e información, tiene muy presentes a la gente y sus sentimientos y se relacionan bien con la mayoría, aunque lo hagan un poco distantes. A los INFP no les gustan las interrupciones telefónicas y trabajan bien solos o con otros. Tienen paciencia con las situaciones complicadas, pero poca con los detalles rutinarios. Se equivocarán en cuanto a un hecho, pero rara vez con un principio. Se inclinan hacia el apostolado, la labor misionera, la enseñanza universitaria, la siquiatría, la arquitectura, la sicologíaÑpero ignoran el mundo de los negocios. Se dedican con entusiasmo para alcanzar el fondo académico necesario que les proporcione una carrera y a menudo sacan mejores notas en la universidad que en la escuela superior. Tienen un interés natural en las actividades académicas y demuestran, como los otros NF, una facilidad extraordinaria para los idiomas. A menudo ÒoyenÓ una llamada que les pide que ayuden a los que lo necesitan. Y hacen los sacrificios necesarios para responder a esa llamada, incluso si ello significa pedir que otros hagan lo mismo. Los INFP pueden llegar a ser excelentes novelistas y actores que hacen el papel de una persona de gran carácter o personalidad, puesto que, mejor que ningún otro tipo, saben abandonar su propia personalidad en la representación del papel que deben de actuar.</t>
  </si>
  <si>
    <t>Los ENFP están constantemente observando el mundo que les rodea y nada se les escapa a su atención.  Saben concentrarse en la persona que está con ellos y al mismo tiempo apreciar lo que ocurre alrededor.  Su atención no es nunca superficial ni pasiva; constantemente directa.  A veces, los ENFP se encuentran interpretando situaciones en términos de los ''motivos posteriores" de la otra persona, dándoles un significado especial a sus palabras o acciones.  En muchos casos dicha interpretación resulta ser negativa e incluso falsa.  En el proceso, un ENFP puede encontrar que ha introducido elementos innecesarios y tóxicos en la relación.  Aunque los ENFP son extremadamente perceptivos, cometen serios errores de juicio que les causa una sensación angustiosa.  Estos errores se derivan de una tendencia a analizar las circunstancias a través de sus propios prejuicios personales.  Sus percepciones pueden ser correctas pero sus conclusiones no.</t>
  </si>
  <si>
    <t>Como viven en un estado de alerta continuo y son extremadamente sensibles, sufren a menudo de gran tensión muscular.  Viven preparados para las emergencies.  Y como ellos son asi, creen que el resto ha de actuar igual.  Se aburren con frecuencia de situaciones y personas y evitan repetir una experiencia.  Disfrutan cuando crean algo nuevo -- una idea o un proyecto, pero no les interesa llevarlo a cabo.  Su entusiasmo es contagioso y la gente queda cautivada por el carácter de un ENFP.  Y a la vez son extremadamente independientes, rechazando cualquier tipo de subordinación que alguien trate de imponerles a ellos o a cualquier persona relacionada a ellos.  Sin embargo, tienden a atribuir más poder a aquellas figuras autoritarias del que tienen y conceder a dichos individuos la habilidad de ver más allá de lo que un ENFP es de hecho.  Mientras que los ENFP resisten la idea de que otros dependan de ellos o de que tengan poder sobre ellos, su carisma atrae a individuos que buscan que se les ensefie el camino.  Los ENFP se hallan constantemente rodeados de gente que espera encontrar consejo, inspiración, dirección, empuje, etc.-- una circunstancia que, en muchos casos, le crea una sensación de peso y fastidio.</t>
  </si>
  <si>
    <t>Los ENFJ son excelentes líderes de grupo, tanto de trabajo como de desarrollo social o personal. Poseen la atractiva característica de saber que sus ideas o sugerencias serán fácilmente aceptadas, sin dudar ni un momento que la gente hará lo que ellos sugieran. Y, por lo general, así ocurre puesto que este tipo demuestra un extraordinario don de gentes. Los ENFJ dan gran valor a la cooperación de otros a la vez que ellos condescienden bien a cooperar.</t>
  </si>
  <si>
    <t>Los INTP valoran la inteligencia que poseen y la que tienen otros, pero pueden convertirse en aficionados intelectuales a resultas de su necesidad de adquirir ideas, principios o de entender la conducta humana. Y cuando aprenden algo, lo retienen. Los INTP se pueden obsesionar con el análisis. Una vez que se concentran en un proceso intelectual, dicho proceso toma una voluntad propia y no paran hasta que entienden toda la complejidad de una idea o de un tema. Pueden convertirse en unos pretensiosos intelectuales y mostrar poca paciencia con aquellos que no tienen tanta inteligencia. Esta cualidad genera hostilidad y conducta defensiva por parte de otros, quienes describen a los INTP como arrogantes.</t>
  </si>
  <si>
    <t>Para los INTP, el mundo existe primordialmente para ser entendido. La realidad es trivial, un lugar para probar ideas. Es esencial que se entienda el universo y que lo que se diga del universo se diga correctamente, con coherencia y sin redundancia. Esto es el propósito básico para un INTP. No importa si otros no entienden o no aceptan sus ideas.</t>
  </si>
  <si>
    <t>Los ESFP irradian calor humano y optimismo. Afables, inteligentes, simpáticos, ingeniosos, volubles y abiertos al medio ambienteÑestos adjetivos describen a los ESTP, quienes, al igual que los ESTP, representan 13 por ciento de la población general. Se divierte uno cuando está con ellos y son los más generosos de todos los tipos. Artista sería la palabra que mejor describe a un ESFP.</t>
  </si>
  <si>
    <t>Los ESFP evitarán estar solos y buscan la compañía de otros cuando es posible. Los ESFP la encuentran con facilidad porque las otras personas se sienten altamente entretenidas con su presencia. A los ESFP les gusta la diversión y la crean dondequiera que estén. Su goce de la vida es contagioso y siempre se les ve con cara contenta. Les gusta hablar y mostrar su agudeza ingeniosa. Tienen un aire de refinamiento que lo manifiestan en su elegante forma de vestir con ropa de última moda. Saben disfrutar de lo mejor que puede ofrecerles la vida: ropa, comida, confort físico y diversión. Los ESFP crean una sensación de  -- come, bebe y disfruta --  por dondequiera que vayan, y alrededor de ellos la vida parece tomar una tonalidad de ambiente festivo y alegre.</t>
  </si>
  <si>
    <t>El cónyuge de un ESFP tendrá una relación excitante aúnque llena de sorpresas. Para individuos más tranquilos o callados puede crearles algo de ansiedad y tensión al sentirse que viven al borde de una continua aventura. En casa de un ESFP habrá mucha gente que se lo pasa bien. No se permitirá que los problemas "hagan acto de presencia." El ESFP logrará esto tomándose una actitud de que nada desastroso o nefasto ocurrirá ante su presencia.</t>
  </si>
  <si>
    <t>Los ESFP pueden ser generosos hasta el extremo. Comparten todo lo que tienen sin esperar nada a cambio. Ayudan a todos los que lo necesitan, y quieren abiertamente sin esperar reciprocidad de sentimientos. La vida, según ellos, es una eterna cornucopia de la que manan cantidad de placeres de fácil alcance sin poner mayores esfuerzos para lograrlos.</t>
  </si>
  <si>
    <t>Dicho talento para gozar de la vida les ocasiona, en muchos casos, caer más en las tentaciones que se les ofrecen que cualquier otro tipo. Al inclinarse a seguir sus impulsos, tanto los ESFP masculinos como femeninos, son vulnerables a cualquier seducción sicológica y física. De ahí que otros puedan sonsacarles lo que quieran con facilidad. Como padres, el ESFP será entretenedor, un amigo y una fuente de diversión y estímulo. Sin embargo, cuando haya alguna enfermedad en la familia, o dificultad, los ESFP puede que se muestren algo impacientes y quieran ausentarse.</t>
  </si>
  <si>
    <t>Su tolerancia hacia la angustia es la más baja de todos los tipos. La evitan ignorando los aspectos negativos de cualquier situación. Tienden a ser algo autocomplacientes, pero, más que resistir o crear conflictos, los ESFP aparentarán ceder -- y entonces buscar lo que más les interese.</t>
  </si>
  <si>
    <t>Los ESFJ, los más sociables de todos los tipos, se sienten más enérgicos cuando se relacionan con la gente. Tienden a idealizar a quienes admiran. La armonía es la clave de este tipo, representado en el 13% de la población general.</t>
  </si>
  <si>
    <t>Los ESFJ son los grandes tutelares de las instituciones establecidas tales como el hogar, la escuela, la iglesia y los grupos cívicos. Dondequiera que se encuentren, fomentarán la armonía y las relaciones armoniosas. Son excelentes anfitriones que recuerdan el nombre de una persona una vez que son presentados. En una reunión social se les observará atendiendo las necesidades de otros, tratando de asegurarse de que estén a gusto y de que participen en las actividades de la reunión. Los lazos sociales les importan mucho a los ESFJ y su conversación recordará momentos nostálgicos de recuerdos pasados. Los ESFJ desarrollan, apoyan y observan cuidadosamente las tradiciones.</t>
  </si>
  <si>
    <t>Les duele la indiferencia y necesitan que se les aprecie por lo que son y por la abundancia que ofrecen a otros en la forma de servicios. Tienen muy presentes las apariencias y se toman muy en serio las opiniones de otros en cuanto a las normas sociales se refiere. Los principios de un ESFJ pueden basarse en debería y no debería que expresarán con toda libertad. Son concienzudos y ordenados. Pueden ponerse muy nerviosos cuando se les aisla de la gente.</t>
  </si>
  <si>
    <t>Para su trabajo los ESFJ se inclinan hacia ocupaciones de servicios. Tienen una personalidad tan abierta que les permite destacarse en ventas y seguramente ganarán premios por ser los representantes que venden más. Suelen tener mayor antigüedad en el departamento de ventas de cualquier organización. Si observamos a un ESFJ cómo trabaja nos revelará cómo este tipo hace su operación personal: el cliente no compra un producto; compra personalmente del ESFJ. Esta misma característica le permite al ESFJ destacarse en la enseñanza, el apostolado, la supervisión, la administración, la dirección técnica de equipos y, en general, puestos en los que trata directamente a las personas. Rara vez causan problemas a sus superiores puesto que obedecen las reglas y los reglamentos y se orientan por el deber y el servicio. Son leales a sus jefes. Los ESFJ atenderán y discutirán los acontecimientos y los problemas de la vida de sus colegas; pero si la conversación trata de abstracciones de filosofía o ciencia, el ESFJ se mostrará inquieto. El análisis de complejidade -- por ejemplo, intentar explicar un evento por el análisis de principios -- no excita el interés del ESFJ, como ocurre en el caso de los NT.</t>
  </si>
  <si>
    <t>PARTE IV:  Preguntas 79 - 93</t>
  </si>
  <si>
    <t>más del tipo organizada</t>
  </si>
  <si>
    <t>ser presentado</t>
  </si>
  <si>
    <t>siempre tengan nuevas ideas</t>
  </si>
  <si>
    <t>siempre tengan ambos pies sobre la tierra</t>
  </si>
  <si>
    <t>tiendes a estar con otras personas</t>
  </si>
  <si>
    <t>una persona práctica con sentido común</t>
  </si>
  <si>
    <t>rápidamente</t>
  </si>
  <si>
    <t>sólo después de que reálmente te conocen</t>
  </si>
  <si>
    <t>te motiva</t>
  </si>
  <si>
    <t>Intuición</t>
  </si>
  <si>
    <t>Sentidos</t>
  </si>
  <si>
    <t>Juicio</t>
  </si>
  <si>
    <t>Percepciones</t>
  </si>
  <si>
    <t>TUS RESULTADOS:</t>
  </si>
  <si>
    <t>Tu tipo de personalidad</t>
  </si>
  <si>
    <t>Tus puntajes</t>
  </si>
  <si>
    <t>Los ISTJ se caracterizan por su decisión en asuntos prácticos. Son los guardias de las instituciones tradicionales. Un adjetivo que los describe justamente es digno de confianza. Representan cerca del 6% de la población general. Cuando dan su palabra, siempre la cumplirán. Se muestran muy inquietos con la idea de una nación, estado, institución o familia en peligro de bancarrota.</t>
  </si>
  <si>
    <t>Esté en casa o en el trabajo, el ISTJ es más bien callado y serio. Los ISTJ son muy perseverantes y fidedignos. La idea de no ratificar un contrato los horroriza. Cuando dan su palabra, empeñan su honor. Se puede contar con ellos para conservar los recursos de la institución a la que ellos pertenecen y para aportar su punto pragmático de vista. Atienden a sus deberes sin gran pompa ni platillos; por lo tanto, la dedicación que aportan a su trabajo puede pasar desapercibida o no apreciada.</t>
  </si>
  <si>
    <t>El interés de los ISTJ en poner atención a cada detalle a la justicia, a los procedimientos prácticos, al fluido armonioso de personal y de materiales inclina a este tipo a ocupaciones donde dichas preferencias son útiles. Por ejemplo, los ISTJ son excelentes inspectores de Banca y de Hacienda, auditores o contables. También pueden interesarles las inversiones bursátiles, especialmente aquellas acciones de compañías preferidas. No se arriesgarán con su propio dinero o con el de otros.</t>
  </si>
  <si>
    <t>Los ISTJ tienen paciencia con su trabajo y con los procedimientos que rigen una institución, aunque no tanta con las metas individuales de la gente que trabaja en dicha institución. Los ISTJ procurarán que las materias primas se entreguen cuándo y dónde corresponda hacerlo; el material estará en su lugar apropiado a la hora debida. Y los ISTJ preferirían que así fuera el caso también con las personas.</t>
  </si>
  <si>
    <t>Al ser tan impulsivo como cualquier otro SP, la vida de un ISTP es arte en movimiento -- y para él, la accion resulta ser un fin en sí. La acción para el ISTP será más satisfactoria si procede de un impulso más que de un propósito. Si la acción está al servicio de un fin o dirección, que ésta se las vea por si sola; porque no permitirá que influya la ejecución. El acto es autodirigido, autopropulsado, que contiene sus propios imperativos que no se doblegará a meras reglas, reglamentos o leyes. Los ISTP consideran a todos iguales y serán extremadamente leales a sus "camaradas," pero también serán altamente insubordinados, considerando jerarquías y autoridad como algo innecesario e incluso superfluo. No quiere ello decir que vayan contra las reglas; simplemente las ignoran. El ISTP debe de hacer lo que le parece; sentirse libre para variar según le parezca. Y los ISTP se sienten orgullosos, o quieren sentirse, de su habilidad para variar con destreza.</t>
  </si>
  <si>
    <t>Los ENFJ dan por sentado que cuando hablan se les entenderá con facilidad y que sus ideas serán aceptadas por otros. Así como ellos aceptan a otras personas, asumen que los otros harán lo mismo. Cuando se dan cuenta de que sus ideas o creencias no reciben la aceptación esperada, se muestran sorprendidos, desconcertados y, a veces, doloridos. Por suerte, ello no ocurre a menudo puesto que demuestran gran facilidad de palabra, sobre todo, en comunicación directa con otras personas. Cuando hablan delante de cualquier grupo, sea grande o pequeño, sus ideas logran influir gracias a su facilidad de palabra y confianza en lo que dicen. En cambio, no saben expresarse con idéntica habilidad por escrito.</t>
  </si>
  <si>
    <t>Los ENFJ tienen una gran capacidad para empatizar los sentimientos de otros, haciendo propias las emociones, creencias o características de estos. Dicha actitud puede ser peligrosa para los ENFJ ya que llegan a identificarse inconscientemente con la persona en cuestión aceptando como suyos unos problemas o crisis que no le pertenecen. Hasta tal punto que pueden incluso perder su propio sentido de la identidad. Demuestran una destreza natural a imitar por su gran capacidad de empatizar por introyección. No sólo tienden a incorporar las preocupaciones de los más avenidos a ellos, sino que se interesan enormemente por aquellas personas que conocen poco, causándose un desgaste emotivo perjudicial.</t>
  </si>
  <si>
    <t>Si usaramos una palabra para capturar el estilo del ENTJ, sería comandante. La fuerza y la necesidad básicas de los ENTJ es mandar, y desde temprana edad se le observará a cargo de grupos. Este tipo constituye el 5% aproximado de toda la población. Los ENTJ tienen una fuerte necesidad de estructurar dondequiera que esténÑenfocar a la gente hacia metas distantes. Mostrarán un sistema de pensamiento altamente empírico, objetivo y extrovertido; si este es el caso, usan la clasificación, la generalización, la recapitulación, la aducción de evidencia y la demostración con facilidad. Se parecen a los ESTJ en su tendencia a establecer planes para una labor, empresa u organización, pero los ENTJ se encaminan más hacia la política y las metas de acción que a los reglamentos y procedimientos. El procedimiento intelectual introvertido (análisis y conservación) de un ENTJ estará menos desarrollado que el proceso intelectual extrovertido, y el líder ENTJ se dirigirá a un ENTP o INTP para que le proporcione este aspecto. Los ENTJ son similares a los INTJ, excepto que el primero pone mayor confianza en su pensamiento empírico que en su intuición; es el propio sentido intuitivo de coherencia de los ENTJ, sin embargo, el que aumenta y apoya su pensamiento empírico.</t>
  </si>
  <si>
    <t>Aunque los ENTJ toleran los procedimientos establecidos, los abandonarán si se desmuestran indiferentes a la meta que aparentemente sirven. Los ENTJ rechazan especialmente inaptitud y se ponen muy nerviosos cuando se repiten errores. El INTJ debe de tener siempre una razón para hacer algo. Los sentimientos de la gente no son suficientes. Más que ningún otro tipo, el INTJ desea visualizar (y generalmente tiene la habilidad de hacerlo) hacia dónde se encamina la organización y parece saber comunicar esa visión a otros. Son los organizadores naturales de una entidad y no pueden no dirigir. Se encuentran al frente de una organización y a veces no entienden cómo esto ha sucedido. Cuando son administradores, los ENTJ organizan sus unidades siguiendo un sistema que funcione sin trabas, planificando con objetivos a corto y largo plazo. Buscan y saben encontrar eficiencia y eficacia en su personal. Prefieren tomar decisiones basadas en información impersonal, desean trabajar partiendo de planes bien concebidos y prefieren usar operaciones proyectadas -- y prefieren que otros hagan lo mismo. Los ENTJ apoyarán la política de una organización y esperan que otros la sigan.</t>
  </si>
  <si>
    <t>Los ENTJ alcanzan puestos de responsabilidad y se destacan como ejecutivos. No se cansan en su dedicación al trabajo y saben poner de lado otras áreas de su vida para satisfacer esa dedicación. Sabrán reducir la ineficacia, la inefectividad y la confusión sin sentido despidiendo a empleados que muestren tales deficiencias. Los ENTJ trabajan en organizaciones estructuradas de cualquier tipo, tienden a estar a cargo administrativamente y alcanzan altos puestos de responsabilidad, sea en el ejército, en el mundo de los negocios, en el sistema educativo o en el gobierno.</t>
  </si>
  <si>
    <t>Los ENTJ se hacen cargo de la casa. Cuando esté presente un ENTJ, no habrá duda de quién manda. Como su trabajo es tan importante, sin embargo permenecerán alejados de la casa, especialmente si es un ENTJ varón. Sea hombre o mujer, el ENTJ espera mucho de su cónyuge, quienes deben tener una personalidad fuerte, una autonomía bien desarrollada, muchos y variados intereses y una autoestima sana. El hombre ENTJ no verá con muy buenos ojos a una mujer profesional ya que aquel considera su casa y su familia como parte de su fondo profesional, un recurso y un complemento para su propio desarrollo profesional.</t>
  </si>
  <si>
    <t>Los INTP manifiestan la mayor precisión de pensamiento y vocabulario de todos los tipos; se dan cuenta en seguida de las distinciones e inconsistencias de pensamiento y lenguaje. La palabra que mejor capta el estilo único del INTP es arquitecto el arquitecto de ideas y de sistemas al igual que el arquitecto de edificios. Este tipo se encuentra sólo en 1% de la población y, por lo tanto, no con la frecuencia de otros tipos.</t>
  </si>
  <si>
    <t>Los INTP detectan contradicciones en las declaraciones aunque haga tiempo que se hayan expresado. La exploración intelectual de los INTP tiene una cualidad principal; esto es, los INTP buscan lo que es importante y pertinente al asunto que se trata. Como consecuencia, los INTP saben concentrarse mejor que ningún otro tipo.</t>
  </si>
  <si>
    <t>La autoridad que se desprendería de un puesto, rango o reconocimiento general no impresiona a los INTP. Consideran sólo el peso que traen las declaraciones lógicas y coherentes. La autoridad externa por sí misma no viene al caso. A los INTP les ponen muy nerviosos la redundancia y la incoherencia. Como tiene un deseo de entender el universo, un INTP busca constantemente leyes naturales. La curiosidad relacionada a estas claves del universo es una fuerza de empuje para este tipo.</t>
  </si>
  <si>
    <t>Los INFJ se concentran en las posibilidades, piensan en términos de principios y llegan con facilidad a determinar sus conclusiones. El pequeño porcentaje de este tipo (1%) es lamentable porque dicho grupo manifiesta una gran energía para fomentar el bienestar de otros y disfrutan cuando se les da la oportunidad de ayudar al prójimo. Estas personas se caracterizan por una profunda personalidad; son en sí mismas complejas y saben entender y tratar a la vez a gente complicada o asuntos de difícil resolución.</t>
  </si>
  <si>
    <t>Es muy posible que el INFJ tenga visiones de acontecimientos humanos ocurridos en el pasado, venideros o presentes. Si una persona muestra habilidad para entender fenómenos síquicos, es casi seguro que será un INFJ. Los INFJ son capaces de apreciar o Òsentir,Ó en muchos casos, las emociones de otros, incluso antes de que estos últimos se den cuenta de las mismas. Los INFJ llegan a intuir la bondad y la maldad que se desprenden de otros, aunque no sepan cómo llegaron a apreciar dichos aspectos. Sin embargo, cualquier acontecimiento posterior a esa ÒsensaciónÓ parece corroborar la impresión que ha experimentado el INFJ.</t>
  </si>
  <si>
    <t>Por lo general, los INFJ son buenos estudiantes y logran su propósito académico con una creatividad sin pretensiones. A la vez tienden a ser perfeccionistas que se dedican con excesivo celo a un trabajo que no requiere mayor atención o esfuerzo. No son líderes natos, aunque sí influyen en gran modo entre bastidores.</t>
  </si>
  <si>
    <t>Resulta muy difícil conocer bien a un INFJ. Su vida íntima es muy rica y activa. Y sólo la comparten con aquellas personas a quienes tratan con frecuencia y les tienen gran confianza. De lo contrario, se cierran en sí mismos. Por su natural tendencia a la introyección, se les puede herir fácilmente al ser mucho más vulnerables que cualquier otro grupo. A veces incluso sorprenden a aquellas personas que creen conocerlos bien ya que, de pronto, en momentos inesperados, se comportan de un modo que sorprende hasta a los más allegados. Y no es que los INFJ sean contradictorios; ni mucho menos, su conducta es consistente y valoran su integridad. Lo que ocurre es que su personalidad resulta compleja y complicada a tal punto que llega a sorprenderles incluso a ellos mismos.</t>
  </si>
  <si>
    <t>Los INFJ tratan de complacer a otros, para lo cual se esfuerzan en aportar su mejor estado de ánimo sea cual sea la situación. Prefieren estar de acuerdo con las opiniones de otras personas ya que consideran cualquier conflicto como algo desagradable y destructivo. Un INFJ experimenta percepciones extrasensoriales más que ningún otro tipo aunque es verdad que todos son capaces de apreciar dicho fenómeno. Los INFJ experimentan vívidas imágenes que se manifiestan tanto en la memoria como en la intuición, lo cual le da un aspecto genial que otros aprecian como ciertas manifestaciones místicas. Gracias a dicha imaginación los INFJ componen excepcionales y complejas obras de arte en la música, en sistemas matemáticos, en poemas, en dramas, en novelas. De hecho, los INFJ son los tipos más poéticos. Así como un ENTJ no sabe no dirigir, los INFJ deben de intuir. Esta característica se proyecta a la gente, a los objetos, a los acontecimientos, formulando visiones, presagios, imágenes visuales y auditivas de hechos por acontecer. Los INFJ son capaces de comunicarse con personas ausentes.</t>
  </si>
  <si>
    <t>Deberíamos observar el modo en que los INTJ tratan a la realidad más que su manera de tratar a las ideas para apreciar cómo son ellos. Su pensamiento consciente es extrovertido y empírico. Así, saben generalizar, clasificar, sumarizar, recoger evidencia, probar y demostrar mejor que los INTP. Los INTJ se sienten menos cómodos con la razón pura, esto es, el sistema lógico, en el que los principios son explícitos. En este sentido se parecen a los ENTJ. Los INTJ usan su intuición para entender la coherencia más que la lógica deductiva. Los INTJ tienden a completar las cosas, siempre con un ojo puesto en las consecuencias a largo plazo. Las ideas tienen su propia fuerza para los INTJ, aunque someten cada idea a una prueba de utilidad. Les estimulan las dificultades y responden a cualquier desafío que requiera creatividad. Este aspecto de su personalidad inclina a los INTJ a dedicarse a ocupaciones en las que los modelos teóricos se pueden transformar en realidad. Desarrollan sistemas de datos y de personal donde trabajan si se les da la más ligera oportunidad. Se destacan en el campo de investigaciones científicas y en el ejecutivo donde generan una plétora de implantación de ideas. Si se le pone a trabajar con un INTP, quien es el arquitecto de sistemas, el INTJ proporciona una dimensión a una organizatión que asegura que el trabajo del INTP no se llenará de polvo en alguna estantería.</t>
  </si>
  <si>
    <t>Seis de cada cien personas son ISFJ. Su deseo primario es servir y atender las necesidades individuales de las personas. Los ISFJ acarrean un sentido de la historia, un sentido de continuidad con los acontecimientos y relaciones del pasado. Valoran altamente las tradiciones y la conservación de los recursos. El último hedonista de todos los tipos, los ISFJ creen que el trabajo es bueno; el ocio se debe ganar. Los ISFJ trabajan muchas, muchas horas. Cuando empiezan una labor, la terminarán haciendo todo lo humanamente posible. Valoran y respetan los modos tradicionales de hacer las cosas y de hacerlas bien. Nunca ponen en duda la eficiencia y efectividad de un procedimiento establecido. Los procedimientos dictados por un manual son ley. Si otros violan o ignoran estos procedimientos de operación tradicionales, los ISFJ se molestan e irritan, aunque no expresen claramente dichas reacciones. Por regla general, dicha irritación se mantiene internamente y les produce fatiga y tensión muscular.</t>
  </si>
  <si>
    <t>Los ISFJ son muy dignos de confianza y rara vez se sentirán satisfechos en situaciones de trabajo donde las reglas cambian constantemente. Su necesidad primaria de servir a otros los dirige a ocupaciones tales como el cuidado de enfermos, la enseñanza, trabajos de secretaría, la práctica médica (especialmente medicina general), trabajos de biblioteca, la administración de empresas a nivel medio. Se relacionan bien con personas que los necesitan; por ejemplo, enfermos, analfabetos, estudiantes y el "jefe." Se sienten muy satisfechos cuando se cuidan de las necesidades de otros y rinden sus servicios con gentileza y eficacia. Cuando la otra persona no los necesita más, la relación puede que cambie de índole al desinteresarse el ISFJ. Disfrutan ayudando al oprimido y sabe mejor que ningún otro tipo ayudar a la gente. Si una situación requiere dicha conducta por su parte, lo harán con el "debido respeto." Los ISFJ tienen un extraordinario sentido de la responsabilidad y un talento fuera de lo corriente para ejercer rutinas que requieren procedimientos repetitivos y continuos; por ejemplo, los ISFJ pueden ser extraordinarios secretarios, enfermeros altamente eficientes y maestros dedicados. La especulación y la teoría no intrigan a los ISFJ, quienes dejan los asuntos menos prácticos para otros y se mantienen ellos mismos más pragmáticos y aferrados a la tierra.</t>
  </si>
  <si>
    <t>Los consortes ESFJ tienen unos principios que formulan debería y no debería y esperan que su familia los siga. Son muy escrupulosos en cuanto a las responsabilidades en el hogar, ordenados en los asuntos domésticos y prefieren que sus ocupantes sean lo mismo. Disfrutan alternando con la gente y ofreciendo fiestas o pequeñas reuniones con amigos. Los ESFJ quieren que las decisiones familiares se deciden eficiente y rápidamente y que se mantenga un nivel de vida rutinario, ajustándose a un horario que se cumpla religiosamente. No se oponen a ninguna operación rutinaria, respetan los valores tradicionales del hogar, mantienen las promesas del matrimonio y son las personas más comprensivas de todos los tipos. Tienden a depender de sus cónyuges y se casarán para aseguarse un sitio apropiado en su mundo social. Siguen los ritos asociados a cómo servir buena comida y vinos, disfrutan de las ocasiones festivas, estiman y acumulan considerables posesiones materiales. Se toman muy en serio su papel en la comunidad y son sensibles hacia las personas que están en una posición de autoridad con las que se identifican. Tienen muy presente su estado social y a menudo dependen de lo que les dicen personas de influencia para formularse sus propias opiniones y actitudes.</t>
  </si>
  <si>
    <t>Los ENTP desean ejercer su ingenio en el mundo de la gente y de las cosas. Constituyen un 5% de la gente. Los ENTP tienen una gran intuición y, así, tratan con gran imaginación las relaciones sociales así como las físicas y mecánicas. Están muy al tanto de lo que ocurrirá en el futuro y son muy sensibles a las posibilidades.</t>
  </si>
  <si>
    <t>Los ENTP se destacan en el análisis, especialmente el análisis funcional y demuestran gran tolerancia hacia la complejidad, de la que disfrutan. Gracias a su entusiasmo, los ENTP suelen expresar interés en todo. De ahí que sean una inspiración para otros, quienes se contagian de dicho entusiasmo. A este tipo le interesan muchas cosas y es fácil de complacer. Muestra la misma efervescencia que su imagen NF, el ENFP. El ENTP es el que más se opone a hacer las cosas de un modo en particular por el mero hecho de ser como deberían de hacerse. Saben buscar mejores modos, siempre atentos a nuevos proyectos, nuevas actividades, nuevos procedimientos.</t>
  </si>
  <si>
    <t>Los ENTP tienen gran confianza en el valor de sus proyectos y no dudan en ignorar las normas, lo tradicional y lo autoritario. Como resultado de esta abierta actitud, aportan una sensación nueva y vigorosa a su trabajo y a su vida. El ENTP es un juez sutil de lo pragmático en lo social y en lo mecánico y puede convertirse en un experto para dirigir las relaciones entre los medios y los fines.</t>
  </si>
  <si>
    <t>Cuando el introvertido NTP ve en el diseño un fin en sí, el extrovertido NTP ve el diseño como un medio; el fin es la invención que funciona, el prototipo que se puede aplicar. Las ideas valen sólo y cuando se pueden transformar en acciones y objetos. ÒNo lo puedo hacerÓ es un desafío para el ENTP y se entusiasma cuando replica ÒYo sé hacerlo.Ó Sin embargo, no mueven montañas como lo hacen los INTJ. Más bien, su confianza se aprecia en la habilidad que tiene para improvisar algo. Despliegan un talento poco corriente para lograr la utilidad de la situación. Los ENTP se parecen superficialmente algo a los ESTP en su atrevimiento. Pero el enfoque de los ENTP está en la habilidad y en la sensación que el poder ofrece más que en la libertad de acción que experimenta el ESTP.</t>
  </si>
  <si>
    <t>Los ISTP no temen nada. Se arriesgan más que otros tipos a pesar de que (y a menudo frecuentemente) se lastiman. De todos los tipos, los ISTP se oponen -- u oponen su técnica -- a la casualidad, a las probabilidades, al destino. Les encanta sentirse excitados; buscan excitación todos los días, en la forma de movimiento rápido -- carreras, paracaídismo o surfing, por ejemplo. Esta sed de acción los condiciona a sentirse más aburridos que otros tipos; su necesidad los lleva a buscar una rápida acción. Lo raro, sin embargo, es que no se aburren cuando hacen lo que les gusta, aunque se pasen largos ratos sin hacer nada, como es cuando viajan, cazan, pescan o hacen surf.</t>
  </si>
  <si>
    <t>La personalidad del ISTP se puede observar con mayor facilidad cuando tratan de dominar el uso de cualquier artefacto mecánico, ya sea éste un taladro microscópico o un jet supersónico. De pequeños se sienten atraídos como imanes a dichas máquinas; deben usarlas, manipularlas, y caen en sus manos pidiendo ser usadas. Muchos pilotos sabían a la edad de cinco años que iban a serlo. Los ISTP tienden a trabajar en actividades que les permite usar herramientas: conduciendo, guiando, moviendo. Si observamos cualquier instrumento o máquina -- sea un bisturí o una enorme excavadora -- utilizado con increíble destreza, las manos que lo mueven, por seguro, serán las de un ISTP. Otros usan herramientas, pero no con la habilidad de un ISTP. Sin duda, deberíamos calificar a los ISTP como los artesanos instrumentales ya que ninguno como ellos domina el uso de los instrumentos de trabajo y los supedita a la fuerza de sus impulsos. Por supuesto, los ISTP -- personificados en Miguel Angel y en Michelangelo -- trabajan (o mejor dicho aún, juegan) con sus herramientas siguiendo sus impulsos personales y no las demandas de un horario. Si el horario impuesto exteriormente coincide con el impulso, bien; si no, de poco servirá el horario.</t>
  </si>
  <si>
    <t>Si hay un instrumento que atrae al ISTP es un arma. Si el ISTP se enfrenta a la sociedad (por la razón que sea), utilizará sus armas con talento mortífero. El asesino pagado de hoy día, el pistolero del Oeste americano y el duelista de la Europa del siglo XVIII son ejemplos de esta precisión homicida. El asesino, el pistolero y el duelista por igual se vanagloriaban de su increíble destreza. Por suerte, se enfrentan a otros con idéntica habilidad, los buenos guerreros de la tierra: el soldado, el marshal, el policía, el agente secreto. Esto no quiere decir que todos los guerreros, buenos o malos, son ISTP, o que los ISTP son expertos en armas; más bien que el virtuoso en armas es más frecuentemente que no un ISTP.</t>
  </si>
  <si>
    <t>Aunque todos los SP son artesanos por naturaleza, no practican su habilidad con la misma devoción a la gracia y al adorno que el ISFP. Por alguna razón u otra, el ISFP parece más inclinado a las "bellas artes" que los otros SP; así cuando un director, pintor o bailarín especialmente dotado aparece, él o ella, más frecuentemente que no, posee la personalidad del ISFP. Beethoven, Toscanini, Rembrant y Nijinski, como muestra la investigación tipohistórica, fueron claramente ISFP. Pero el temperamento ISFP es muy difícil de observar, incluso en los grandes artistas, y por eso el ISFP es problamente el más incomprendido de todos lo tipos.</t>
  </si>
  <si>
    <t>Una circunstancia importante para dicho mal entendimiento es la tendencia que tienen los ISFP a no expresarse directamente, sino por medio de la acción. Si encuentran un medio de expresión, algún tipo de arte, entonces expresan su personalidad a través de dicho medio. Si no, no aparece y nadie los conoce, pasando la personalidad totalmente inadvertida. Por supuesto, en aquellos raros casos en que logran una expresión importante, como son los virtuosos, los ISFP se convierten en celebridades, pero su naturaleza queda muy lejos de ser visible. Harpo Marx, un extraordinario actor cómico, puede ser considerado como un prototipo, en su simultánea celebridad e invisibilidad muda.</t>
  </si>
  <si>
    <t>Cuando se les observa detenidamente, estos relativamente infrecuentes SP (5 por ciento de la población son ISFP, comparados con 15 por ciento de ESFP) son tan hedonistas e impulsivos como los otros SP. No tenemos aquí la búsqueda de significado del NF, ni la fascinación por la ciencia (NT) o el comercio (SJ). Los ISFP viven vidas epicúreas en el aquí y ahora, y con el mayor donaire posible. No planean ni se preparan. Sumersión en su arte no es preparación para algo que harán más tarde; más bien lo experimentan intensamente, en ese momento. Los ISFP no esperan, porque esperar es ver cómo el impulso se marchita y muere; quieren y valoran sus impulsos y los ven como el centro de su vida. Ni tampoco los ISFP se dedican a ensayar para mejorar su arte; más bien se sienten atrapados por un imán o torbellino. Así las largas horas de "ensayo" que el virtuoso "da" a su arte no es ensayo y no las da; la acción en sí lo hace y se lo quita del (complaciente) virtuoso. El acto es el dueño del ISFP, no al revés; por lo tanto debemos abandonar la idea de que los ISFP ponen extremo cuidado y planifican con gran atención sus ensayos. Pintan, cantan, hacen piruetas, bailan, corren, patinan, simplemente porque tienen que hacerlo: suben la montaña porque está ahí.</t>
  </si>
  <si>
    <t>Como el ISFP siempre se siente aferrado por cualquier acción que experimenta en el momento indicado, más que ensaya con miras puestas en la distancia, no hay duda que notará fatiga, daño o peligro. A menudo no prestan atención a estas circunstancias que acompañan muchas de sus actividades. No es que no las tengan presentes; lo que pasa es que se sumergen de tal forma en su actividad que simplemente pasan inadvertidas. En esto el ISFP es similar a otros SP y diferente atodos los demás tipos.</t>
  </si>
  <si>
    <t>Los ISFP, como otros SP, tienen una clase especial de inteligencia. Recuerda, por favor, que la inteligencia se define en este libro como la habilidad de hacer bien las cosas bajo circunstancias distintas. Esta categoría particular de inteligencia podría llamarse "concentración artesana." Este talento se diferencia radicalmente del que poseen los NF, los NT y los SJ (dado por sabido, por supuesto, que ellos también tienen sus propias habilidades únicas e innatas). Esta concentración artesana, de una forma u otra mantiene a los ISFP más en contacto con la realidad. Mientras que el ISTP está más sintonizado con el instrumento, por decirlo así, el ISFP se sintoniza con el color, las líneas, el material, las tonalidades el tacto, el movimiento, la vista y el oído en armonía. Los sentidos del ISFP parecen estar más finamente sintonizados que los de otros. Rembrant parecía casi probar los colores, tan fina era su discriminación. Toscanini sabía distinguir una nota falsa dentro de la más compleja partitura instrumental de orquesta. Y las palabras de Hemingway degustaban y olían y tocaban las olas. Esta referencia extrema a lo concreto y específico parece salirle naturalmente al ISFP y la tiene metida "en la médula de su constitución."</t>
  </si>
  <si>
    <t>Los INTJ son, de todos los tipos, los que mayor confianza tienen en sí mismos. Se dan buena cuenta de las facultades que poseen. Constituyen el 1% de la población total y viven en una realidad introspectiva que se enfoca en las posibilidades usando el proceso intelectual en la forma de lógica empírica. Prefieren que los eventos y las personas sirvan algún uso positivo. Las decisiones le llegan naturalmente a los INTJ. Una vez hechas, los INTJ quedan tranquilos. Los INTJ se proyectan hacia el futuro más que al pasado, y la palabra que mejor captura el espíritu de los INTJ es constructor -- un constructor de sistemas y aplicador de modelos teóricos.</t>
  </si>
  <si>
    <t>La autoridad basada en puesto, rango, título o determinada en algún libro no tiene fuerza en absoluto para los INTJ. Este tipo no sucumbe a la magia de frases de propaganda, de precaución o de distinción. Si una idea o postura tienen sentido, el INTJ la adoptará; si no, no lo hará, no importa quien la haya propuesto. Como en el caso del INTP, la autoridad por sí no impresiona al INTJ.</t>
  </si>
  <si>
    <t>Sin embargo, los INTJ se conformarán con las reglas si son útiles, no porque crean en ellas o tengan sentido, sino por su única visión de la realidad. Son los supremos pragmáticos que ven la realidad como algo arbitrario y creado. Por lo tanto se la puede usar como una herramient -- o ignorarla. La realidad es bastante maleable y se puede cambiar, conquistar o dominar. La realidad es crucial para el refinamiento de las ideas, y en este sentido, los INTJ son los más teóricos de todos los tipos. Donde el ESTP ve las ideas como un peón de la realidad, un INTJ ve la realidad como un peón de las ideas: ninguna idea es lo bastante alocada como para no ser considerada. Los INTJ experimentan constantes accesos de actividad intelectual y están siempre abiertos a nuevos conceptos y a analizarlos agresivamente.</t>
  </si>
  <si>
    <t>Los INTJ manipulan el mundo de la teoría como si fuera un enorme tablero de ajedrez, siempre buscando estrategias y tácticas que tengan resultados. En su tendencia hacia la lógica, los INTJ se parecen a los INTP. Sin embargo, la lógica de un INTJ no se limita a lo que pueda expresar lógicamente. Contrarios a los INTP, los INTJ necesitan tener sólo una impresión vaga, intuitiva de la lógica no expresada de un sistema para continuar seguros en su camino. Las cosas necesitan sólo parecer lógicas; esto es bastante. Más aún, tienen un ojo aguzado para ver las consecuencias que la aplicación de nuevas ideas o posturas puedan tener. Pueden ser bastante crueles cuando establecen sistemas, sin importarles despedir personal para ahorrar tiempo y energía. Los INTJ abandonan pronto teorías que no pueden aplicarse.</t>
  </si>
  <si>
    <t>¿Cuál alternativa se aproxima más a tu forma de sentir o de actuar?</t>
  </si>
  <si>
    <t>planear con anticipación que hacer y cuándo</t>
  </si>
  <si>
    <t>simplemente ir y luego ver que hacer</t>
  </si>
  <si>
    <t>más del tipo espontánea</t>
  </si>
  <si>
    <t xml:space="preserve">realistas </t>
  </si>
  <si>
    <t>descubrir qué es lo necesario a medida que vas avanzando</t>
  </si>
  <si>
    <t>valorar los sentimientos más que lo lógica</t>
  </si>
  <si>
    <t>valorar la lógica más que los sentimientos</t>
  </si>
  <si>
    <t>esperar a ver que pasa y luego hacer planes</t>
  </si>
  <si>
    <t>planificar las cosas a medida que van sucediendo</t>
  </si>
  <si>
    <t>Sensitivo</t>
  </si>
  <si>
    <t>Teórico</t>
  </si>
  <si>
    <t>Espontáneo</t>
  </si>
  <si>
    <t>Cual palabra te representa mejor?. Piensa en el significado de las palabras, no en como se ven o suenan.</t>
  </si>
  <si>
    <t>Cuál alternativa se aproxima más a tu forma de sentir o de actuar?</t>
  </si>
  <si>
    <t>hacerlo de la manera convencional</t>
  </si>
  <si>
    <t>inventar tu propio estilo</t>
  </si>
  <si>
    <t>correcto y común, pero a veces algo inconsistente</t>
  </si>
  <si>
    <t>extravagante, pero a veces con buenas ideas</t>
  </si>
  <si>
    <t>hablar a algunas personas, cosas que son necesarias de hablar</t>
  </si>
  <si>
    <t>¿Cuál palabra te representa mejor?. Piensa en el significado de las palabras, no en como se ven o suenan.</t>
  </si>
  <si>
    <t>INVENTARIO TIPOLOGICO MBTI</t>
  </si>
  <si>
    <t>(Myers Briggs Type Indicator)</t>
  </si>
  <si>
    <t xml:space="preserve">Instrucciones </t>
  </si>
  <si>
    <t xml:space="preserve">En esta prueba no existen respuestas correctas o incorrectas. Sus respuestas ayudarán a conocer cómo piensa, cómo se siente y cómo se comporta usted generalmente. Conocer sus preferenias puede ayudar a conocer dónde están sus puntos fuertes, el tipo de trabajo en que pudiera tener más exito y cómo agrupar a personas de distintas preferencias para que el equipo sea más util a la sociedad. </t>
  </si>
  <si>
    <t xml:space="preserve">Nombre y Apellidos: </t>
  </si>
  <si>
    <t xml:space="preserve">Edad: </t>
  </si>
  <si>
    <t xml:space="preserve">Sexo: </t>
  </si>
  <si>
    <t xml:space="preserve">Fecha: </t>
  </si>
  <si>
    <t>El porcentaje de gente que corresponde a este tipo se sitúa en el 5% de la población total. Dan una enorme importancia a sus relaciones con la gente. A resultas de ello, los ENFJ se manifiestan responsables por los sentimientos de otras personas de tal forma que ponen un peso en la relación. Un ENFJ comunica bien su cariño, su interés y su deseo de asociación a otra persona. De ahí que la gente busque calor y apoyo en un ENFJ, lo cual le es fácil de dar. A veces, sin embargo, esas demandas llegan a abrumar a los ENFJ, quienes se sienten entonces incapaces de encontrar la fórmula para distanciarse. Los ENFJ no saben apartarse incluso cuando se dan cuenta de que dichas demandas resultan demasiado exigentes. O, si se ven obligados a abandonar la relación por falta de tiempo o energía personal, los ENFJ experimentan una sensación de culpabilidad que no corresponde a las realidades del compromiso establecido por la relación.</t>
  </si>
  <si>
    <t>Los ENFJ se sitúan en un plano muy vulnerable al idealizar relaciones interpersonales puesto que las llevan a un nivel muy difícil de mantener en relación a las realidades de la naturaleza humana. De dicha tendencia, los ENFJ llegan hasta agobiar de tal modo a sus amistades que estos se sienten incapaces de mantener esa aparente idealización. Por otra parte, los ENFJ son tolerantes, poco críticos y siempre dignos de confianza.</t>
  </si>
  <si>
    <t>J</t>
  </si>
  <si>
    <t>P</t>
  </si>
  <si>
    <t>S</t>
  </si>
  <si>
    <t>N</t>
  </si>
  <si>
    <t>E</t>
  </si>
  <si>
    <t>I</t>
  </si>
  <si>
    <t>F</t>
  </si>
  <si>
    <t>T</t>
  </si>
  <si>
    <t>Total Raw Points</t>
  </si>
  <si>
    <t>Part I</t>
  </si>
  <si>
    <t>Part II</t>
  </si>
  <si>
    <t>Part III</t>
  </si>
  <si>
    <t>Part IV</t>
  </si>
  <si>
    <t>Total</t>
  </si>
  <si>
    <t>Extraversion</t>
  </si>
  <si>
    <t>Introversion</t>
  </si>
  <si>
    <t>Cuando vas a algún lugar por el día, prefieres…</t>
  </si>
  <si>
    <t>Te consideras a ti mismo como una persona…</t>
  </si>
  <si>
    <t>Si fueras profesor, preferirías…</t>
  </si>
  <si>
    <t>realizar clases prácticas</t>
  </si>
  <si>
    <t>realizar clases teóricas</t>
  </si>
  <si>
    <t>Usualmente eres…</t>
  </si>
  <si>
    <t>el alma de la fiesta</t>
  </si>
  <si>
    <t>quieto y reservado</t>
  </si>
  <si>
    <t>Usualmente te llevas mejor con personas</t>
  </si>
  <si>
    <t>imaginativas</t>
  </si>
  <si>
    <t>Prefieres…</t>
  </si>
  <si>
    <t>que tu corazón domine tu cabeza</t>
  </si>
  <si>
    <t>que tu cabeza domine tu corazón</t>
  </si>
  <si>
    <t>Prefieres hacer las cosas…</t>
  </si>
  <si>
    <t>dependiendo del impulso del momento</t>
  </si>
  <si>
    <t>dependiendo de lo planificado</t>
  </si>
  <si>
    <t>Eres…</t>
  </si>
  <si>
    <t>una persona fácil de conocer por terceros</t>
  </si>
  <si>
    <t>una persona dificil de conocer por terceros</t>
  </si>
  <si>
    <t>Seguir lo agendado…</t>
  </si>
  <si>
    <t>te agrada?</t>
  </si>
  <si>
    <t>te limita?</t>
  </si>
  <si>
    <t>Cuando tienes algo especial que hacer, prefieres…</t>
  </si>
  <si>
    <t>organizarlo cuidadosamente antes de comenzar</t>
  </si>
  <si>
    <t>La mayoría de las veces prefieres…</t>
  </si>
  <si>
    <t>seguir la corriente</t>
  </si>
  <si>
    <t>seguir lo agendado</t>
  </si>
  <si>
    <t>una persona reservada</t>
  </si>
  <si>
    <t>una persona abierta</t>
  </si>
  <si>
    <t>La mayoría de las personas dirían que tu eres...</t>
  </si>
  <si>
    <t>Prefieres ser considerado,,,</t>
  </si>
  <si>
    <t>como una persona práctica</t>
  </si>
  <si>
    <t>como una persona ingeniosa</t>
  </si>
  <si>
    <t>Ante un grupo de personas prefieres…</t>
  </si>
  <si>
    <t>presentar a los demás</t>
  </si>
  <si>
    <t>Prefieres tener amigos que…</t>
  </si>
  <si>
    <t>Tiendes a…</t>
  </si>
  <si>
    <t>Tiendes a gastar tu tiempo…</t>
  </si>
  <si>
    <t>en actividades solitarias</t>
  </si>
  <si>
    <t>en actividades con otras personas</t>
  </si>
  <si>
    <t>Encuentras que estar rodeado de personas…</t>
  </si>
  <si>
    <t>te dá más energía</t>
  </si>
  <si>
    <t>te absorve energía</t>
  </si>
  <si>
    <t>organizar las fechas importantes, cumpleaños y fiestas por adelantado</t>
  </si>
  <si>
    <t>ser libre de disponer de tu tiempo</t>
  </si>
  <si>
    <t>Cuando planeas un viaje, prefieres…</t>
  </si>
  <si>
    <t>la mayoría del tiempo hacer lo que te parezca en el momento</t>
  </si>
  <si>
    <t>planificar actividades dependiendo de los días con que cuentas</t>
  </si>
  <si>
    <t>En una fiesta…</t>
  </si>
  <si>
    <t>a veces te aburres</t>
  </si>
  <si>
    <t>siempre te diviertes</t>
  </si>
  <si>
    <t>Usualmente…</t>
  </si>
  <si>
    <t>tiendes a estar solo</t>
  </si>
  <si>
    <t>Te atrae más</t>
  </si>
  <si>
    <t>una persona con mente rápida e inteligente</t>
  </si>
  <si>
    <t>En tu rutina laboral…</t>
  </si>
  <si>
    <t>te gusta trabajar contra el tiempo</t>
  </si>
  <si>
    <t>usualmente planificas tu trabajo, por lo que no es necesario trabajar bajo presión</t>
  </si>
  <si>
    <t>Generalmente a otras personas…</t>
  </si>
  <si>
    <t>les lleva mucho tiempo conocerte</t>
  </si>
  <si>
    <t>les lleva poco tiempo conocerte</t>
  </si>
  <si>
    <t>PARTE I:  Preguntas 1 - 26</t>
  </si>
  <si>
    <t>PARTE II:  Preguntas 27 - 58</t>
  </si>
  <si>
    <t>Cerrado</t>
  </si>
  <si>
    <t>Abierto</t>
  </si>
  <si>
    <t>Planificado</t>
  </si>
  <si>
    <t>Implanificado</t>
  </si>
  <si>
    <t>Abstracto</t>
  </si>
  <si>
    <t>Concreto</t>
  </si>
  <si>
    <t>Gentil</t>
  </si>
  <si>
    <t>Firme</t>
  </si>
  <si>
    <t>Pensamiento</t>
  </si>
  <si>
    <t>Sentimiento</t>
  </si>
  <si>
    <t>Hechos</t>
  </si>
  <si>
    <t>Ideas</t>
  </si>
  <si>
    <t>Impulsos</t>
  </si>
  <si>
    <t>Decisiones</t>
  </si>
  <si>
    <t>Acalorado</t>
  </si>
  <si>
    <t>Quieto</t>
  </si>
  <si>
    <t>Tranquilo</t>
  </si>
  <si>
    <t>Reactivo</t>
  </si>
  <si>
    <t>Casual</t>
  </si>
  <si>
    <t>Teoria</t>
  </si>
  <si>
    <t>Certeza</t>
  </si>
  <si>
    <t>Justo</t>
  </si>
  <si>
    <t>Libre</t>
  </si>
  <si>
    <t>Reservado</t>
  </si>
  <si>
    <t>Hablador</t>
  </si>
  <si>
    <t>Ordenado</t>
  </si>
  <si>
    <t>Desordenado</t>
  </si>
  <si>
    <t>Compasivo</t>
  </si>
  <si>
    <t>Previsor</t>
  </si>
  <si>
    <t>Beneficios</t>
  </si>
  <si>
    <t>Bendiciones</t>
  </si>
  <si>
    <t>Sentido Común</t>
  </si>
  <si>
    <t>Pocos amigos</t>
  </si>
  <si>
    <t>Muchos amigos</t>
  </si>
  <si>
    <t>Sistemático</t>
  </si>
  <si>
    <t>Imaginativo</t>
  </si>
  <si>
    <t>Tibio</t>
  </si>
  <si>
    <t>Objetivo</t>
  </si>
  <si>
    <t>Pasional</t>
  </si>
  <si>
    <t>Construir</t>
  </si>
  <si>
    <t>Inventar</t>
  </si>
  <si>
    <t>Sociable</t>
  </si>
  <si>
    <t>Teorias</t>
  </si>
  <si>
    <t>Lógico</t>
  </si>
  <si>
    <t>Analítico</t>
  </si>
  <si>
    <t>Sentimental</t>
  </si>
  <si>
    <t>Sensible</t>
  </si>
  <si>
    <t>Fascinable</t>
  </si>
  <si>
    <t>Argumentos</t>
  </si>
  <si>
    <t>Conceptos</t>
  </si>
  <si>
    <t>Cuando comienzas un gran proyecto a desarrollar en una semana</t>
  </si>
  <si>
    <t>haces un listado de cosas por hacer según orden de importancia</t>
  </si>
  <si>
    <t>te sumerges en el tema</t>
  </si>
  <si>
    <t>dificil comenzar y mantener una conversación con un extraño</t>
  </si>
  <si>
    <t>En situaciones sociales encuentras…</t>
  </si>
  <si>
    <t>fácil hablar largamente con la mayoría de las personas</t>
  </si>
  <si>
    <t>Cuando haces cosas que la mayoría de las personas hace</t>
  </si>
  <si>
    <t>prefieres…</t>
  </si>
  <si>
    <t>Las personas que recientemente te han conocido pueden decir</t>
  </si>
  <si>
    <t>que tu eres de determinada manera…</t>
  </si>
  <si>
    <t>Prefieres materias que tratan de…</t>
  </si>
  <si>
    <t>conceptos y principios</t>
  </si>
  <si>
    <t>hechos y ejemplos</t>
  </si>
  <si>
    <t>Es un elogio que te llamen</t>
  </si>
  <si>
    <t>una persona con reales sentimientos</t>
  </si>
  <si>
    <t>una persona consistente y razonable</t>
  </si>
  <si>
    <t>Encuentras que llevar una agenda es…</t>
  </si>
  <si>
    <t>necesario a veces, pero la mayoría de las veces no</t>
  </si>
  <si>
    <t>favorable y útil la mayoría de las veces</t>
  </si>
  <si>
    <t>Cuando estás con un grupo de personas prefieres…</t>
  </si>
  <si>
    <t>conversar con aquellas personas que conoces bien</t>
  </si>
  <si>
    <t>disfrutar de la discusión grupal</t>
  </si>
  <si>
    <t>En una fiesta tu…</t>
  </si>
  <si>
    <t>hablas la mayoría del tiempo</t>
  </si>
  <si>
    <t>prefieres que otros hablen la mayoría del tiempo</t>
  </si>
  <si>
    <t>La idea de hacer un listado de cosas por hacer el fin de semana…</t>
  </si>
  <si>
    <t>no te llama la atención</t>
  </si>
  <si>
    <t>Es más elogioso ser llamado</t>
  </si>
  <si>
    <t>competente</t>
  </si>
  <si>
    <t>compasivo</t>
  </si>
  <si>
    <t>Generalmente prefieres</t>
  </si>
  <si>
    <t>agendar tus compromisos sociales con cierto espacio de libertad</t>
  </si>
  <si>
    <t>hacer las cosas según el impulso del momento</t>
  </si>
  <si>
    <t>Cuando trabajas en un gran proyecto</t>
  </si>
  <si>
    <t>planificas lo que necesitas a medida que vas avanzando</t>
  </si>
  <si>
    <t>divides el proyecto en partes pequeñas</t>
  </si>
  <si>
    <t>Puedes mantener una conversación indefinidamente…</t>
  </si>
  <si>
    <t>sólo con personas que compartes intereses comunes</t>
  </si>
  <si>
    <t>con casi cualquier persona</t>
  </si>
  <si>
    <t>realizar las cosas según métodos probadamente efectivos</t>
  </si>
  <si>
    <t>analizar problemas no resueltos</t>
  </si>
  <si>
    <t>Disfrutas…</t>
  </si>
  <si>
    <t>las maneras originales de decir las cosas</t>
  </si>
  <si>
    <t>decir exactamente lo que pretendes sin rodeos</t>
  </si>
  <si>
    <t>Prefieres trabajar con un jefe que es…</t>
  </si>
  <si>
    <t>Prefieres hacer las cosas dependiendo de…</t>
  </si>
  <si>
    <t>como te sientas en un día particular</t>
  </si>
  <si>
    <t>como lo hayas agendado</t>
  </si>
  <si>
    <t>Puedes…</t>
  </si>
  <si>
    <t>hablar facilmente con la mayoría de las personas hasta que te canses</t>
  </si>
  <si>
    <t>Cuando tomas una decisión es más importante para ti…</t>
  </si>
  <si>
    <t>el peso de los acontecimientos</t>
  </si>
  <si>
    <t>los sentimientos y opiniones de las personas</t>
  </si>
  <si>
    <t>Realistico</t>
  </si>
  <si>
    <t>Gran corazón</t>
  </si>
  <si>
    <t>Mente firme</t>
  </si>
  <si>
    <t>Mente justa</t>
  </si>
  <si>
    <t>Cuidadoso</t>
  </si>
  <si>
    <t>Producción</t>
  </si>
  <si>
    <t>Diseño</t>
  </si>
  <si>
    <t>Posibilidades</t>
  </si>
  <si>
    <t>Certezas</t>
  </si>
  <si>
    <t>Ternura</t>
  </si>
  <si>
    <t>Fuerza</t>
  </si>
  <si>
    <t>Práctico</t>
  </si>
  <si>
    <t>Crear</t>
  </si>
  <si>
    <t>Producir</t>
  </si>
  <si>
    <t>Novedoso</t>
  </si>
  <si>
    <t>Conocido</t>
  </si>
  <si>
    <t>Simpatizar</t>
  </si>
  <si>
    <t>Analizar</t>
  </si>
  <si>
    <t>Fiel</t>
  </si>
  <si>
    <t>Determinado</t>
  </si>
  <si>
    <t>Innovador</t>
  </si>
  <si>
    <t>Corazonada</t>
  </si>
  <si>
    <t>Probado</t>
  </si>
  <si>
    <t>Firmeza</t>
  </si>
  <si>
    <t>PARTE III: Preguntas 59 - 78</t>
  </si>
  <si>
    <t>La vida nunca parece aburrida cuando se está al lado de un ESTP. Su estilo atractivo y amistoso tiene un tono dramático que tranforma el evento más rutinario y mundano en algo excitante. Los ESTP saben dónde están los mejores restaurantes y el jefe de camareros sabrá cómo se llama. Los ESTP tienen una capacidad extraordinaria para desenvolverse en el mundo de las activiades sociales; son afables y corteses. Pocos como él saben utilizar el mundo exterior para su beneficio.</t>
  </si>
  <si>
    <t>Los ESTP tienen un don especial para observar lo que motiva a las personas; son hipersensibles a las mínimas indicaciones no verbales de la gente, cosa que pasaría inadvertida para muchos otros tipos. Son genios para usar estas observaciones y "vender" al "cliente." La vista del ESTP está puesta en los ojos del que mira, y todas sus acciones se dirigen al auditorio. Ingeniosos, inteligentes y divertidos, los ESTP parecen tener una cantidad poco corriente de empatía, cuando en realidad no es este el caso; más bien, están tan al tanto de las mínimas señales que proyectan los otros que se anticipan a cualquier movimiento de postura que estos puedan hacer. Los ESTP saben usar la información que adquieren para lograr los fines que se proponen -- aparentemente se arriesgan con nervios de acero a lo que otros considerarían un esfuerzo suicida. Otros tipos encuentran esta actitud como algo agotador, pero a los ESTP les excita trabajar al borde del precipicio. Los ESTP son unos pragmáticos que no ponen ningún impedimento para lograr el fin que se proponen: los medios justifican el fin -- lamentable, pero necesario. Por regla general, sin embargo, los ESTP consideran innecesario tener que justificar sus acciones, y prefieren, en vez, pasar a la siguiente empresa.</t>
  </si>
  <si>
    <t>Los ESTP se destacan iniciando empresas en las que logran reunir a grupos distintos para negociar un acuerdo. Son capacitados administradores que saben sacar compañías o instituciones con dificultades económicas rápidamente de su situación de pérdidas, y ¡lo hacen con estilo! Saben vender una idea o proyecto de forma que ningún otro tipo lo logra, pero no se preocuparán de los detalles de dicho proyecto. Esta característica a menudo causa que los ESTP no sean apreciados por el extraordinario talento que tienen puesto que la gente se olvida de la contribución inicial y se concentra en los detalles necesarios para llevar a cabo la idea, llegando incluso a criticar los puntos débiles de los ESTP en lugar de apreciar su aportación. Pocas organizaciones usan a los ESTP como deberían de hacerlo. Sin embargo, cuando los ESTP se encargan de un negocio individualmente, no tendrán éxito en su empresa por sus pocos deseos de cuidarse de los detalles necesarios para que su proyecto salga bien. Los ESTP necesitan que haya alguien que lleve a cabo esos aspectos detallistas de su idea.</t>
  </si>
  <si>
    <t>Los ESTJ están muy en contacto con el ambiente externo. Conocen su comunidad y son normalmente los pilares que le dan fuerza. El mejor adjetivo que describe a los ESTJ sería responsables. Representan cerca del 13% de la población general.</t>
  </si>
  <si>
    <t>Los ESTJ son excelentes para organizar ordenadamente procedimientos y para detallar reglas y reglamentos. Les gusta que las cosas se hagan correctamente. Tienden a impacientarse con aquellos que no siguen los procedimientos con la suficiente atención a los detalles indicados, por los que tienen más experiencia para que el trabajo se lleve a cabo bien.</t>
  </si>
  <si>
    <t>A los ESTJ les agrada evaluar a otros y tienden a juzgar la actuación de una persona según sigue los procedimientos normales de una operación. A veces serán algo bruscos con los que no siguen correctamente las reglas. Los ESTJ son realistas, prosáicos y más curiosos acerca de nuevos aparatos y procedimientos que acerca de nuevos principios y teorías.</t>
  </si>
  <si>
    <t>Los ESTJ son generalmente leales a sus instituciones, trabajo y comunidad y se mantendrán siempre fieles a su cónyuge y padres. Saben cuáles son sus responsabilidades y nunca las ignorarán aunque para ello se requieran grandes sacrificios. Alcanzan puestos de alta responsabilidad en su trabajo, en la comunidad y en sus afiliaciones religiosas. A menudo pertenecen a varias organizaciones cívicas y las apoyan con su presencia continua y su actitud expresiva. Los ESTJ son puntuales y esperan lo mismo de otros.</t>
  </si>
  <si>
    <t>Los ESTJ no reaccionan muy bien a los puntos de vista de otros ni a sus emociones y tienen la tendencia de llegar a conclusiones demasiado rápido. No muestran mucha paciencia para escuchar atentamente ideas opuestas; son especialmente vulnerables a esta tendencia cuando ocupan puestos de autoridad. Necesitarán mantener una mente abierta para apreciar las ideas y reacciones de aquellas personas que dependen de ellos -- sus hijos, su cónyuge y sus empleados.</t>
  </si>
  <si>
    <t>Los ESTJ se sintonizan de tal modo con las instituciones establecidas y tradicionales con su conducta y actuación que no logran entender que haya gente que desee abandonarlas o cambiarlas radicalmente. Siguen sin dificultades las rutinas del hogar y del trabajo. Les gusta encontrar un sitio para todo y que todo esté en su sitio. Normalmente son pulcros y ordenados tanto en su lugar de empleo como en el de recreo.</t>
  </si>
  <si>
    <t>Nada les ocurre a los ENFP que no tenga significado.  Demuestran una gran habilidad para descubrir los motivos de otros en sus acciones.  De ahí que vean la vida como un drama lleno de posibilidades para el bien y el mal.  Aunque este tipo sólo se descubre en el 5% de la gente, su influencia es enorme debido al extraordinario impacto que tienen en otros.  Los ENFP se esfuerzan en lograr su autenticidad incluso cuando actúan espontáneamente y dicho esfuerzo lo comunican de modo no verbal a otros, quienes consideran esta cuafidad atractiva.  Sin embargo, los ENFP ven que sus propios esfuerzos de lograr autenticidad y espontaneidad son vacíos y, por eso, se "flagelan" por sentirse siempre tan consciences de sí mismos.</t>
  </si>
  <si>
    <t>Los ENFP consideran muy importantes las experiencias en que sienten intensas emociones.  Sin embargo, cuando las tienen, les hacen sentirse incómodos porque sí se dan cuenta de que las experimentan pero notan que una parte de eros se separa.  Se esfuerzan por lograr congruencia, pero temen perder contacto con sentimientos reales, que los ENFP poseen en gran variedad e intensidad.</t>
  </si>
  <si>
    <t>Marca con un 1 la que más te representa.</t>
  </si>
  <si>
    <t>Elige la que mayormente te represente y márcala con un 1</t>
  </si>
  <si>
    <t>Marca con Un 1 la que más te representa.</t>
  </si>
  <si>
    <r>
      <t>Marque con un</t>
    </r>
    <r>
      <rPr>
        <b/>
        <sz val="11"/>
        <rFont val="Arial"/>
        <family val="2"/>
      </rPr>
      <t xml:space="preserve"> 1</t>
    </r>
    <r>
      <rPr>
        <sz val="11"/>
        <rFont val="Arial"/>
      </rPr>
      <t xml:space="preserve"> la alternativa que más le represente. No se entretenga demasiado en cada cuestión; si no pudiera decidirse por una de las alternativas, pase a la siguiente y deje en blanco el espacio correspondiente. </t>
    </r>
  </si>
  <si>
    <t>Elige la que mayormente te represente, marcándola con un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</si>
</sst>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0"/>
      <name val="Arial"/>
    </font>
    <font>
      <sz val="10"/>
      <name val="Arial"/>
    </font>
    <font>
      <b/>
      <sz val="10"/>
      <name val="Arial"/>
      <family val="2"/>
    </font>
    <font>
      <b/>
      <sz val="12"/>
      <name val="Arial"/>
      <family val="2"/>
    </font>
    <font>
      <b/>
      <sz val="11"/>
      <name val="Arial"/>
      <family val="2"/>
    </font>
    <font>
      <b/>
      <sz val="11"/>
      <color indexed="9"/>
      <name val="Arial"/>
      <family val="2"/>
    </font>
    <font>
      <b/>
      <sz val="10"/>
      <color indexed="9"/>
      <name val="Arial"/>
      <family val="2"/>
    </font>
    <font>
      <b/>
      <u/>
      <sz val="10"/>
      <color indexed="9"/>
      <name val="Arial"/>
      <family val="2"/>
    </font>
    <font>
      <u/>
      <sz val="10"/>
      <name val="Arial"/>
      <family val="2"/>
    </font>
    <font>
      <u/>
      <sz val="10"/>
      <color indexed="12"/>
      <name val="Arial"/>
    </font>
    <font>
      <sz val="8"/>
      <name val="Arial"/>
    </font>
    <font>
      <b/>
      <sz val="14"/>
      <name val="Arial"/>
      <family val="2"/>
    </font>
    <font>
      <sz val="11"/>
      <name val="Arial"/>
    </font>
    <font>
      <sz val="10"/>
      <color rgb="FFFF0000"/>
      <name val="Arial"/>
      <family val="2"/>
    </font>
    <font>
      <b/>
      <sz val="10"/>
      <color rgb="FFFF0000"/>
      <name val="Arial"/>
      <family val="2"/>
    </font>
    <font>
      <sz val="11"/>
      <name val="Arial"/>
      <family val="2"/>
    </font>
  </fonts>
  <fills count="5">
    <fill>
      <patternFill patternType="none"/>
    </fill>
    <fill>
      <patternFill patternType="gray125"/>
    </fill>
    <fill>
      <patternFill patternType="solid">
        <fgColor indexed="44"/>
        <bgColor indexed="64"/>
      </patternFill>
    </fill>
    <fill>
      <patternFill patternType="solid">
        <fgColor indexed="8"/>
        <bgColor indexed="64"/>
      </patternFill>
    </fill>
    <fill>
      <patternFill patternType="solid">
        <fgColor indexed="63"/>
        <bgColor indexed="64"/>
      </patternFill>
    </fill>
  </fills>
  <borders count="13">
    <border>
      <left/>
      <right/>
      <top/>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right/>
      <top/>
      <bottom style="thin">
        <color indexed="64"/>
      </bottom>
      <diagonal/>
    </border>
    <border>
      <left style="medium">
        <color indexed="64"/>
      </left>
      <right style="medium">
        <color indexed="64"/>
      </right>
      <top/>
      <bottom/>
      <diagonal/>
    </border>
  </borders>
  <cellStyleXfs count="2">
    <xf numFmtId="0" fontId="0" fillId="0" borderId="0"/>
    <xf numFmtId="0" fontId="9" fillId="0" borderId="0" applyNumberFormat="0" applyFill="0" applyBorder="0" applyAlignment="0" applyProtection="0">
      <alignment vertical="top"/>
      <protection locked="0"/>
    </xf>
  </cellStyleXfs>
  <cellXfs count="54">
    <xf numFmtId="0" fontId="0" fillId="0" borderId="0" xfId="0"/>
    <xf numFmtId="0" fontId="0" fillId="0" borderId="1" xfId="0" applyBorder="1"/>
    <xf numFmtId="0" fontId="0" fillId="0" borderId="2" xfId="0" applyBorder="1"/>
    <xf numFmtId="0" fontId="2" fillId="0" borderId="0" xfId="0" applyFont="1"/>
    <xf numFmtId="0" fontId="0" fillId="0" borderId="0" xfId="0" applyAlignment="1">
      <alignment horizontal="center"/>
    </xf>
    <xf numFmtId="0" fontId="1" fillId="0" borderId="0" xfId="0" applyFont="1"/>
    <xf numFmtId="0" fontId="2" fillId="0" borderId="1" xfId="0" applyFont="1" applyBorder="1" applyAlignment="1">
      <alignment horizontal="center"/>
    </xf>
    <xf numFmtId="0" fontId="4" fillId="2" borderId="3" xfId="0" applyFont="1" applyFill="1" applyBorder="1" applyAlignment="1">
      <alignment horizontal="center"/>
    </xf>
    <xf numFmtId="0" fontId="2" fillId="2" borderId="4" xfId="0" applyFont="1" applyFill="1" applyBorder="1"/>
    <xf numFmtId="0" fontId="4" fillId="2" borderId="5" xfId="0" applyFont="1" applyFill="1" applyBorder="1" applyAlignment="1">
      <alignment horizontal="center"/>
    </xf>
    <xf numFmtId="0" fontId="2" fillId="2" borderId="6" xfId="0" applyFont="1" applyFill="1" applyBorder="1"/>
    <xf numFmtId="0" fontId="4" fillId="2" borderId="7" xfId="0" applyFont="1" applyFill="1" applyBorder="1" applyAlignment="1">
      <alignment horizontal="center"/>
    </xf>
    <xf numFmtId="0" fontId="2" fillId="2" borderId="8" xfId="0" applyFont="1" applyFill="1" applyBorder="1"/>
    <xf numFmtId="0" fontId="0" fillId="2" borderId="3" xfId="0" applyFill="1" applyBorder="1"/>
    <xf numFmtId="0" fontId="0" fillId="2" borderId="9" xfId="0" applyFill="1" applyBorder="1"/>
    <xf numFmtId="0" fontId="0" fillId="2" borderId="5" xfId="0" applyFill="1" applyBorder="1"/>
    <xf numFmtId="0" fontId="2" fillId="2" borderId="0" xfId="0" applyFont="1" applyFill="1" applyAlignment="1">
      <alignment horizontal="right"/>
    </xf>
    <xf numFmtId="0" fontId="0" fillId="2" borderId="7" xfId="0" applyFill="1" applyBorder="1"/>
    <xf numFmtId="0" fontId="0" fillId="2" borderId="10" xfId="0" applyFill="1" applyBorder="1"/>
    <xf numFmtId="0" fontId="0" fillId="2" borderId="4" xfId="0" applyFill="1" applyBorder="1"/>
    <xf numFmtId="0" fontId="4" fillId="2" borderId="0" xfId="0" applyFont="1" applyFill="1" applyAlignment="1">
      <alignment horizontal="center"/>
    </xf>
    <xf numFmtId="0" fontId="2" fillId="2" borderId="0" xfId="0" applyFont="1" applyFill="1" applyAlignment="1">
      <alignment horizontal="center"/>
    </xf>
    <xf numFmtId="0" fontId="2" fillId="2" borderId="0" xfId="0" applyFont="1" applyFill="1"/>
    <xf numFmtId="0" fontId="0" fillId="2" borderId="6" xfId="0" applyFill="1" applyBorder="1"/>
    <xf numFmtId="0" fontId="0" fillId="2" borderId="8" xfId="0" applyFill="1" applyBorder="1"/>
    <xf numFmtId="0" fontId="5" fillId="3" borderId="1" xfId="0" applyFont="1" applyFill="1" applyBorder="1" applyAlignment="1">
      <alignment horizontal="center"/>
    </xf>
    <xf numFmtId="0" fontId="8" fillId="0" borderId="0" xfId="0" applyFont="1"/>
    <xf numFmtId="0" fontId="9" fillId="0" borderId="0" xfId="1" applyAlignment="1" applyProtection="1"/>
    <xf numFmtId="0" fontId="2" fillId="0" borderId="1" xfId="0" applyFont="1" applyBorder="1"/>
    <xf numFmtId="0" fontId="0" fillId="0" borderId="0" xfId="0" applyAlignment="1">
      <alignment wrapText="1"/>
    </xf>
    <xf numFmtId="0" fontId="0" fillId="0" borderId="0" xfId="0" applyAlignment="1">
      <alignment horizontal="left" vertical="center"/>
    </xf>
    <xf numFmtId="0" fontId="3" fillId="0" borderId="0" xfId="0" applyFont="1"/>
    <xf numFmtId="0" fontId="0" fillId="0" borderId="11" xfId="0" applyBorder="1"/>
    <xf numFmtId="0" fontId="12" fillId="0" borderId="0" xfId="0" applyFont="1" applyAlignment="1">
      <alignment horizontal="left" vertical="center" wrapText="1"/>
    </xf>
    <xf numFmtId="0" fontId="11" fillId="0" borderId="0" xfId="0" applyFont="1" applyAlignment="1">
      <alignment horizontal="center" vertical="center" wrapText="1"/>
    </xf>
    <xf numFmtId="0" fontId="2" fillId="0" borderId="0" xfId="0" applyFont="1" applyAlignment="1">
      <alignment horizontal="center" vertical="center" wrapText="1"/>
    </xf>
    <xf numFmtId="0" fontId="6" fillId="4" borderId="0" xfId="0" applyFont="1" applyFill="1" applyAlignment="1">
      <alignment horizontal="left"/>
    </xf>
    <xf numFmtId="0" fontId="7" fillId="4" borderId="10" xfId="0" applyFont="1" applyFill="1" applyBorder="1" applyAlignment="1">
      <alignment horizontal="left"/>
    </xf>
    <xf numFmtId="0" fontId="6" fillId="4" borderId="0" xfId="0" applyFont="1" applyFill="1" applyAlignment="1">
      <alignment horizontal="left" vertical="center" wrapText="1"/>
    </xf>
    <xf numFmtId="0" fontId="0" fillId="0" borderId="0" xfId="0" applyAlignment="1">
      <alignment horizontal="left" vertical="center" wrapText="1"/>
    </xf>
    <xf numFmtId="0" fontId="7" fillId="4" borderId="0" xfId="0" applyFont="1" applyFill="1" applyAlignment="1">
      <alignment horizontal="left" vertical="center" wrapText="1"/>
    </xf>
    <xf numFmtId="0" fontId="3" fillId="0" borderId="10" xfId="0" applyFont="1" applyBorder="1" applyAlignment="1">
      <alignment horizontal="center"/>
    </xf>
    <xf numFmtId="0" fontId="0" fillId="4" borderId="12" xfId="0" applyFill="1" applyBorder="1" applyAlignment="1">
      <alignment horizontal="center"/>
    </xf>
    <xf numFmtId="0" fontId="0" fillId="4" borderId="7" xfId="0" applyFill="1" applyBorder="1" applyAlignment="1">
      <alignment horizontal="center"/>
    </xf>
    <xf numFmtId="0" fontId="0" fillId="4" borderId="10" xfId="0" applyFill="1" applyBorder="1" applyAlignment="1">
      <alignment horizontal="center"/>
    </xf>
    <xf numFmtId="0" fontId="0" fillId="4" borderId="6" xfId="0" applyFill="1" applyBorder="1" applyAlignment="1">
      <alignment horizontal="center"/>
    </xf>
    <xf numFmtId="0" fontId="0" fillId="4" borderId="8" xfId="0" applyFill="1" applyBorder="1" applyAlignment="1">
      <alignment horizontal="center"/>
    </xf>
    <xf numFmtId="0" fontId="0" fillId="4" borderId="3" xfId="0" applyFill="1" applyBorder="1" applyAlignment="1">
      <alignment horizontal="center"/>
    </xf>
    <xf numFmtId="0" fontId="0" fillId="4" borderId="9" xfId="0" applyFill="1" applyBorder="1" applyAlignment="1">
      <alignment horizontal="center"/>
    </xf>
    <xf numFmtId="0" fontId="0" fillId="4" borderId="4" xfId="0" applyFill="1" applyBorder="1" applyAlignment="1">
      <alignment horizontal="center"/>
    </xf>
    <xf numFmtId="0" fontId="13" fillId="0" borderId="0" xfId="0" applyFont="1"/>
    <xf numFmtId="0" fontId="14" fillId="0" borderId="0" xfId="0" applyFont="1" applyAlignment="1">
      <alignment horizontal="center"/>
    </xf>
    <xf numFmtId="0" fontId="14" fillId="0" borderId="0" xfId="0" applyFont="1"/>
    <xf numFmtId="0" fontId="15" fillId="0" borderId="0" xfId="0" applyFont="1" applyAlignment="1">
      <alignment horizontal="left" vertical="center" wrapText="1"/>
    </xf>
  </cellXfs>
  <cellStyles count="2">
    <cellStyle name="Hipervínculo" xfId="1" builtinId="8"/>
    <cellStyle name="Normal" xfId="0" builtinId="0"/>
  </cellStyles>
  <dxfs count="10">
    <dxf>
      <fill>
        <patternFill patternType="solid">
          <bgColor indexed="43"/>
        </patternFill>
      </fill>
    </dxf>
    <dxf>
      <fill>
        <patternFill patternType="none">
          <bgColor indexed="65"/>
        </patternFill>
      </fill>
    </dxf>
    <dxf>
      <fill>
        <patternFill>
          <bgColor indexed="43"/>
        </patternFill>
      </fill>
    </dxf>
    <dxf>
      <fill>
        <patternFill>
          <bgColor indexed="43"/>
        </patternFill>
      </fill>
    </dxf>
    <dxf>
      <fill>
        <patternFill>
          <bgColor indexed="43"/>
        </patternFill>
      </fill>
    </dxf>
    <dxf>
      <font>
        <condense val="0"/>
        <extend val="0"/>
        <color auto="1"/>
      </font>
      <fill>
        <patternFill>
          <bgColor indexed="43"/>
        </patternFill>
      </fill>
    </dxf>
    <dxf>
      <font>
        <condense val="0"/>
        <extend val="0"/>
        <color indexed="63"/>
      </font>
      <fill>
        <patternFill>
          <bgColor indexed="63"/>
        </patternFill>
      </fill>
    </dxf>
    <dxf>
      <font>
        <condense val="0"/>
        <extend val="0"/>
        <color indexed="63"/>
      </font>
      <fill>
        <patternFill>
          <bgColor indexed="63"/>
        </patternFill>
      </fill>
    </dxf>
    <dxf>
      <font>
        <condense val="0"/>
        <extend val="0"/>
        <color indexed="63"/>
      </font>
      <fill>
        <patternFill>
          <bgColor indexed="63"/>
        </patternFill>
      </fill>
    </dxf>
    <dxf>
      <font>
        <condense val="0"/>
        <extend val="0"/>
        <color indexed="63"/>
      </font>
      <fill>
        <patternFill>
          <bgColor indexed="63"/>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J19"/>
  <sheetViews>
    <sheetView showGridLines="0" tabSelected="1" topLeftCell="A6" workbookViewId="0">
      <selection activeCell="K17" sqref="K17"/>
    </sheetView>
  </sheetViews>
  <sheetFormatPr baseColWidth="10" defaultRowHeight="12.75" x14ac:dyDescent="0.2"/>
  <cols>
    <col min="3" max="3" width="15.7109375" customWidth="1"/>
    <col min="5" max="5" width="12.7109375" customWidth="1"/>
    <col min="10" max="10" width="12" customWidth="1"/>
  </cols>
  <sheetData>
    <row r="2" spans="1:10" ht="18" x14ac:dyDescent="0.2">
      <c r="A2" s="34" t="s">
        <v>112</v>
      </c>
      <c r="B2" s="34"/>
      <c r="C2" s="34"/>
      <c r="D2" s="34"/>
      <c r="E2" s="34"/>
      <c r="F2" s="34"/>
      <c r="G2" s="34"/>
      <c r="H2" s="34"/>
      <c r="I2" s="34"/>
      <c r="J2" s="34"/>
    </row>
    <row r="3" spans="1:10" x14ac:dyDescent="0.2">
      <c r="A3" s="35" t="s">
        <v>113</v>
      </c>
      <c r="B3" s="35"/>
      <c r="C3" s="35"/>
      <c r="D3" s="35"/>
      <c r="E3" s="35"/>
      <c r="F3" s="35"/>
      <c r="G3" s="35"/>
      <c r="H3" s="35"/>
      <c r="I3" s="35"/>
      <c r="J3" s="35"/>
    </row>
    <row r="6" spans="1:10" x14ac:dyDescent="0.2">
      <c r="A6" t="s">
        <v>116</v>
      </c>
      <c r="C6" s="32"/>
      <c r="D6" s="32"/>
      <c r="E6" s="32"/>
      <c r="F6" s="32"/>
      <c r="G6" s="32"/>
    </row>
    <row r="7" spans="1:10" ht="7.5" customHeight="1" x14ac:dyDescent="0.2"/>
    <row r="8" spans="1:10" x14ac:dyDescent="0.2">
      <c r="A8" t="s">
        <v>117</v>
      </c>
      <c r="C8" s="32"/>
      <c r="D8" s="32"/>
      <c r="E8" s="32"/>
      <c r="F8" s="32"/>
      <c r="G8" s="32"/>
    </row>
    <row r="9" spans="1:10" ht="6.75" customHeight="1" x14ac:dyDescent="0.2"/>
    <row r="10" spans="1:10" x14ac:dyDescent="0.2">
      <c r="A10" t="s">
        <v>118</v>
      </c>
      <c r="C10" s="32"/>
      <c r="D10" s="32"/>
      <c r="E10" s="32"/>
      <c r="F10" s="32"/>
      <c r="G10" s="32"/>
    </row>
    <row r="11" spans="1:10" ht="7.5" customHeight="1" x14ac:dyDescent="0.2"/>
    <row r="12" spans="1:10" x14ac:dyDescent="0.2">
      <c r="A12" t="s">
        <v>119</v>
      </c>
      <c r="C12" s="32"/>
      <c r="D12" s="32"/>
      <c r="E12" s="32"/>
      <c r="F12" s="32"/>
      <c r="G12" s="32"/>
    </row>
    <row r="15" spans="1:10" ht="15.75" x14ac:dyDescent="0.25">
      <c r="A15" s="31" t="s">
        <v>114</v>
      </c>
    </row>
    <row r="17" spans="1:10" ht="78.75" customHeight="1" x14ac:dyDescent="0.2">
      <c r="A17" s="33" t="s">
        <v>115</v>
      </c>
      <c r="B17" s="33"/>
      <c r="C17" s="33"/>
      <c r="D17" s="33"/>
      <c r="E17" s="33"/>
      <c r="F17" s="33"/>
      <c r="G17" s="33"/>
      <c r="H17" s="33"/>
      <c r="I17" s="33"/>
      <c r="J17" s="33"/>
    </row>
    <row r="19" spans="1:10" ht="48.75" customHeight="1" x14ac:dyDescent="0.2">
      <c r="A19" s="53" t="s">
        <v>343</v>
      </c>
      <c r="B19" s="33"/>
      <c r="C19" s="33"/>
      <c r="D19" s="33"/>
      <c r="E19" s="33"/>
      <c r="F19" s="33"/>
      <c r="G19" s="33"/>
      <c r="H19" s="33"/>
      <c r="I19" s="33"/>
      <c r="J19" s="33"/>
    </row>
  </sheetData>
  <mergeCells count="4">
    <mergeCell ref="A17:J17"/>
    <mergeCell ref="A19:J19"/>
    <mergeCell ref="A2:J2"/>
    <mergeCell ref="A3:J3"/>
  </mergeCells>
  <phoneticPr fontId="10" type="noConversion"/>
  <pageMargins left="0.75" right="0.75" top="0.53" bottom="1" header="0.17" footer="0"/>
  <pageSetup orientation="landscape" verticalDpi="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F81"/>
  <sheetViews>
    <sheetView showGridLines="0" workbookViewId="0">
      <selection activeCell="G9" sqref="G9"/>
    </sheetView>
  </sheetViews>
  <sheetFormatPr baseColWidth="10" defaultColWidth="9.140625" defaultRowHeight="12.75" x14ac:dyDescent="0.2"/>
  <cols>
    <col min="1" max="1" width="3.28515625" customWidth="1"/>
    <col min="2" max="2" width="48.140625" customWidth="1"/>
    <col min="3" max="3" width="3.140625" customWidth="1"/>
    <col min="4" max="4" width="58.42578125" customWidth="1"/>
    <col min="5" max="5" width="0" style="5" hidden="1" customWidth="1"/>
    <col min="6" max="6" width="0" hidden="1" customWidth="1"/>
  </cols>
  <sheetData>
    <row r="1" spans="1:6" x14ac:dyDescent="0.2">
      <c r="A1" s="36" t="s">
        <v>199</v>
      </c>
      <c r="B1" s="36"/>
      <c r="C1" s="36"/>
      <c r="D1" s="36"/>
    </row>
    <row r="2" spans="1:6" x14ac:dyDescent="0.2">
      <c r="A2" s="36" t="s">
        <v>91</v>
      </c>
      <c r="B2" s="36"/>
      <c r="C2" s="36"/>
      <c r="D2" s="36"/>
    </row>
    <row r="3" spans="1:6" ht="13.5" thickBot="1" x14ac:dyDescent="0.25">
      <c r="A3" s="37" t="s">
        <v>344</v>
      </c>
      <c r="B3" s="37"/>
      <c r="C3" s="37"/>
      <c r="D3" s="37"/>
    </row>
    <row r="4" spans="1:6" ht="13.5" thickBot="1" x14ac:dyDescent="0.25"/>
    <row r="5" spans="1:6" ht="13.5" thickBot="1" x14ac:dyDescent="0.25">
      <c r="A5" s="3">
        <v>1</v>
      </c>
      <c r="B5" t="s">
        <v>138</v>
      </c>
      <c r="C5" s="28"/>
      <c r="D5" t="s">
        <v>92</v>
      </c>
      <c r="E5" s="5" t="s">
        <v>122</v>
      </c>
      <c r="F5">
        <f>IF(C5=1,E5,0)</f>
        <v>0</v>
      </c>
    </row>
    <row r="6" spans="1:6" ht="13.5" thickBot="1" x14ac:dyDescent="0.25">
      <c r="A6" s="3"/>
      <c r="C6" s="1"/>
      <c r="D6" t="s">
        <v>93</v>
      </c>
      <c r="E6" s="5" t="s">
        <v>123</v>
      </c>
      <c r="F6">
        <f t="shared" ref="F6:F69" si="0">IF(C6=1,E6,0)</f>
        <v>0</v>
      </c>
    </row>
    <row r="7" spans="1:6" ht="9" customHeight="1" thickBot="1" x14ac:dyDescent="0.25">
      <c r="A7" s="3"/>
      <c r="F7">
        <f t="shared" si="0"/>
        <v>0</v>
      </c>
    </row>
    <row r="8" spans="1:6" ht="13.5" thickBot="1" x14ac:dyDescent="0.25">
      <c r="A8" s="3">
        <v>2</v>
      </c>
      <c r="B8" t="s">
        <v>139</v>
      </c>
      <c r="C8" s="1"/>
      <c r="D8" t="s">
        <v>94</v>
      </c>
      <c r="E8" s="5" t="s">
        <v>123</v>
      </c>
      <c r="F8">
        <f t="shared" si="0"/>
        <v>0</v>
      </c>
    </row>
    <row r="9" spans="1:6" ht="13.5" thickBot="1" x14ac:dyDescent="0.25">
      <c r="A9" s="3"/>
      <c r="C9" s="1"/>
      <c r="D9" t="s">
        <v>36</v>
      </c>
      <c r="E9" s="5" t="s">
        <v>122</v>
      </c>
      <c r="F9">
        <f t="shared" si="0"/>
        <v>0</v>
      </c>
    </row>
    <row r="10" spans="1:6" ht="9" customHeight="1" thickBot="1" x14ac:dyDescent="0.25">
      <c r="A10" s="3"/>
      <c r="F10">
        <f t="shared" si="0"/>
        <v>0</v>
      </c>
    </row>
    <row r="11" spans="1:6" ht="13.5" thickBot="1" x14ac:dyDescent="0.25">
      <c r="A11" s="3">
        <v>3</v>
      </c>
      <c r="B11" t="s">
        <v>140</v>
      </c>
      <c r="C11" s="1"/>
      <c r="D11" t="s">
        <v>141</v>
      </c>
      <c r="E11" s="5" t="s">
        <v>124</v>
      </c>
      <c r="F11">
        <f t="shared" si="0"/>
        <v>0</v>
      </c>
    </row>
    <row r="12" spans="1:6" ht="13.5" thickBot="1" x14ac:dyDescent="0.25">
      <c r="A12" s="3"/>
      <c r="C12" s="1"/>
      <c r="D12" t="s">
        <v>142</v>
      </c>
      <c r="E12" s="5" t="s">
        <v>125</v>
      </c>
      <c r="F12">
        <f t="shared" si="0"/>
        <v>0</v>
      </c>
    </row>
    <row r="13" spans="1:6" ht="6" customHeight="1" thickBot="1" x14ac:dyDescent="0.25">
      <c r="A13" s="3"/>
      <c r="F13">
        <f t="shared" si="0"/>
        <v>0</v>
      </c>
    </row>
    <row r="14" spans="1:6" ht="13.5" thickBot="1" x14ac:dyDescent="0.25">
      <c r="A14" s="3">
        <v>4</v>
      </c>
      <c r="B14" t="s">
        <v>143</v>
      </c>
      <c r="C14" s="1"/>
      <c r="D14" t="s">
        <v>144</v>
      </c>
      <c r="E14" s="5" t="s">
        <v>126</v>
      </c>
      <c r="F14">
        <f t="shared" si="0"/>
        <v>0</v>
      </c>
    </row>
    <row r="15" spans="1:6" ht="13.5" thickBot="1" x14ac:dyDescent="0.25">
      <c r="A15" s="3"/>
      <c r="C15" s="1"/>
      <c r="D15" t="s">
        <v>145</v>
      </c>
      <c r="E15" s="5" t="s">
        <v>127</v>
      </c>
      <c r="F15">
        <f t="shared" si="0"/>
        <v>0</v>
      </c>
    </row>
    <row r="16" spans="1:6" ht="9" customHeight="1" thickBot="1" x14ac:dyDescent="0.25">
      <c r="A16" s="3"/>
      <c r="F16">
        <f t="shared" si="0"/>
        <v>0</v>
      </c>
    </row>
    <row r="17" spans="1:6" ht="13.5" thickBot="1" x14ac:dyDescent="0.25">
      <c r="A17" s="3">
        <v>5</v>
      </c>
      <c r="B17" t="s">
        <v>146</v>
      </c>
      <c r="C17" s="1"/>
      <c r="D17" t="s">
        <v>147</v>
      </c>
      <c r="E17" s="5" t="s">
        <v>125</v>
      </c>
      <c r="F17">
        <f t="shared" si="0"/>
        <v>0</v>
      </c>
    </row>
    <row r="18" spans="1:6" ht="13.5" thickBot="1" x14ac:dyDescent="0.25">
      <c r="A18" s="3"/>
      <c r="C18" s="1"/>
      <c r="D18" t="s">
        <v>95</v>
      </c>
      <c r="E18" s="5" t="s">
        <v>124</v>
      </c>
      <c r="F18">
        <f t="shared" si="0"/>
        <v>0</v>
      </c>
    </row>
    <row r="19" spans="1:6" ht="9" customHeight="1" thickBot="1" x14ac:dyDescent="0.25">
      <c r="A19" s="3"/>
      <c r="F19">
        <f t="shared" si="0"/>
        <v>0</v>
      </c>
    </row>
    <row r="20" spans="1:6" ht="13.5" thickBot="1" x14ac:dyDescent="0.25">
      <c r="A20" s="3">
        <v>6</v>
      </c>
      <c r="B20" t="s">
        <v>148</v>
      </c>
      <c r="C20" s="1"/>
      <c r="D20" t="s">
        <v>149</v>
      </c>
      <c r="E20" s="5" t="s">
        <v>128</v>
      </c>
      <c r="F20">
        <f t="shared" si="0"/>
        <v>0</v>
      </c>
    </row>
    <row r="21" spans="1:6" ht="13.5" thickBot="1" x14ac:dyDescent="0.25">
      <c r="A21" s="3"/>
      <c r="C21" s="1"/>
      <c r="D21" t="s">
        <v>150</v>
      </c>
      <c r="E21" s="5" t="s">
        <v>129</v>
      </c>
      <c r="F21">
        <f t="shared" si="0"/>
        <v>0</v>
      </c>
    </row>
    <row r="22" spans="1:6" ht="9" customHeight="1" thickBot="1" x14ac:dyDescent="0.25">
      <c r="A22" s="3"/>
      <c r="F22">
        <f t="shared" si="0"/>
        <v>0</v>
      </c>
    </row>
    <row r="23" spans="1:6" ht="13.5" thickBot="1" x14ac:dyDescent="0.25">
      <c r="A23" s="3">
        <v>7</v>
      </c>
      <c r="B23" t="s">
        <v>151</v>
      </c>
      <c r="C23" s="1"/>
      <c r="D23" t="s">
        <v>152</v>
      </c>
      <c r="E23" s="5" t="s">
        <v>123</v>
      </c>
      <c r="F23">
        <f t="shared" si="0"/>
        <v>0</v>
      </c>
    </row>
    <row r="24" spans="1:6" ht="13.5" thickBot="1" x14ac:dyDescent="0.25">
      <c r="A24" s="3"/>
      <c r="C24" s="1"/>
      <c r="D24" t="s">
        <v>153</v>
      </c>
      <c r="E24" s="5" t="s">
        <v>122</v>
      </c>
      <c r="F24">
        <f t="shared" si="0"/>
        <v>0</v>
      </c>
    </row>
    <row r="25" spans="1:6" ht="9" customHeight="1" thickBot="1" x14ac:dyDescent="0.25">
      <c r="A25" s="3"/>
      <c r="F25">
        <f t="shared" si="0"/>
        <v>0</v>
      </c>
    </row>
    <row r="26" spans="1:6" ht="13.5" thickBot="1" x14ac:dyDescent="0.25">
      <c r="A26" s="3">
        <v>8</v>
      </c>
      <c r="B26" t="s">
        <v>154</v>
      </c>
      <c r="C26" s="1"/>
      <c r="D26" t="s">
        <v>155</v>
      </c>
      <c r="E26" s="5" t="s">
        <v>126</v>
      </c>
      <c r="F26">
        <f t="shared" si="0"/>
        <v>0</v>
      </c>
    </row>
    <row r="27" spans="1:6" ht="13.5" thickBot="1" x14ac:dyDescent="0.25">
      <c r="A27" s="3"/>
      <c r="C27" s="1"/>
      <c r="D27" t="s">
        <v>156</v>
      </c>
      <c r="E27" s="5" t="s">
        <v>127</v>
      </c>
      <c r="F27">
        <f t="shared" si="0"/>
        <v>0</v>
      </c>
    </row>
    <row r="28" spans="1:6" ht="9" customHeight="1" thickBot="1" x14ac:dyDescent="0.25">
      <c r="A28" s="3"/>
      <c r="F28">
        <f t="shared" si="0"/>
        <v>0</v>
      </c>
    </row>
    <row r="29" spans="1:6" ht="13.5" thickBot="1" x14ac:dyDescent="0.25">
      <c r="A29" s="3">
        <v>9</v>
      </c>
      <c r="B29" t="s">
        <v>157</v>
      </c>
      <c r="C29" s="1"/>
      <c r="D29" t="s">
        <v>158</v>
      </c>
      <c r="E29" s="5" t="s">
        <v>122</v>
      </c>
      <c r="F29">
        <f t="shared" si="0"/>
        <v>0</v>
      </c>
    </row>
    <row r="30" spans="1:6" ht="13.5" thickBot="1" x14ac:dyDescent="0.25">
      <c r="A30" s="3"/>
      <c r="C30" s="1"/>
      <c r="D30" t="s">
        <v>159</v>
      </c>
      <c r="E30" s="5" t="s">
        <v>123</v>
      </c>
      <c r="F30">
        <f t="shared" si="0"/>
        <v>0</v>
      </c>
    </row>
    <row r="31" spans="1:6" ht="9" customHeight="1" thickBot="1" x14ac:dyDescent="0.25">
      <c r="A31" s="3"/>
      <c r="F31">
        <f t="shared" si="0"/>
        <v>0</v>
      </c>
    </row>
    <row r="32" spans="1:6" ht="13.5" thickBot="1" x14ac:dyDescent="0.25">
      <c r="A32" s="3">
        <v>10</v>
      </c>
      <c r="B32" t="s">
        <v>160</v>
      </c>
      <c r="C32" s="1"/>
      <c r="D32" t="s">
        <v>161</v>
      </c>
      <c r="E32" s="5" t="s">
        <v>122</v>
      </c>
      <c r="F32">
        <f t="shared" si="0"/>
        <v>0</v>
      </c>
    </row>
    <row r="33" spans="1:6" ht="13.5" thickBot="1" x14ac:dyDescent="0.25">
      <c r="A33" s="3"/>
      <c r="C33" s="1"/>
      <c r="D33" t="s">
        <v>96</v>
      </c>
      <c r="E33" s="5" t="s">
        <v>123</v>
      </c>
      <c r="F33">
        <f t="shared" si="0"/>
        <v>0</v>
      </c>
    </row>
    <row r="34" spans="1:6" ht="9" customHeight="1" thickBot="1" x14ac:dyDescent="0.25">
      <c r="A34" s="3"/>
      <c r="F34">
        <f t="shared" si="0"/>
        <v>0</v>
      </c>
    </row>
    <row r="35" spans="1:6" ht="13.5" thickBot="1" x14ac:dyDescent="0.25">
      <c r="A35" s="3">
        <v>11</v>
      </c>
      <c r="B35" t="s">
        <v>162</v>
      </c>
      <c r="C35" s="1"/>
      <c r="D35" t="s">
        <v>163</v>
      </c>
      <c r="E35" s="5" t="s">
        <v>123</v>
      </c>
      <c r="F35">
        <f t="shared" si="0"/>
        <v>0</v>
      </c>
    </row>
    <row r="36" spans="1:6" ht="13.5" thickBot="1" x14ac:dyDescent="0.25">
      <c r="A36" s="3"/>
      <c r="C36" s="1"/>
      <c r="D36" t="s">
        <v>164</v>
      </c>
      <c r="E36" s="5" t="s">
        <v>122</v>
      </c>
      <c r="F36">
        <f t="shared" si="0"/>
        <v>0</v>
      </c>
    </row>
    <row r="37" spans="1:6" ht="9" customHeight="1" thickBot="1" x14ac:dyDescent="0.25">
      <c r="A37" s="3"/>
      <c r="F37">
        <f t="shared" si="0"/>
        <v>0</v>
      </c>
    </row>
    <row r="38" spans="1:6" ht="13.5" thickBot="1" x14ac:dyDescent="0.25">
      <c r="A38" s="3">
        <v>12</v>
      </c>
      <c r="B38" t="s">
        <v>167</v>
      </c>
      <c r="C38" s="1"/>
      <c r="D38" t="s">
        <v>165</v>
      </c>
      <c r="E38" s="5" t="s">
        <v>127</v>
      </c>
      <c r="F38">
        <f t="shared" si="0"/>
        <v>0</v>
      </c>
    </row>
    <row r="39" spans="1:6" ht="13.5" thickBot="1" x14ac:dyDescent="0.25">
      <c r="A39" s="3"/>
      <c r="C39" s="1"/>
      <c r="D39" t="s">
        <v>166</v>
      </c>
      <c r="E39" s="5" t="s">
        <v>126</v>
      </c>
      <c r="F39">
        <f t="shared" si="0"/>
        <v>0</v>
      </c>
    </row>
    <row r="40" spans="1:6" ht="9" customHeight="1" thickBot="1" x14ac:dyDescent="0.25">
      <c r="A40" s="3"/>
      <c r="F40">
        <f t="shared" si="0"/>
        <v>0</v>
      </c>
    </row>
    <row r="41" spans="1:6" ht="13.5" thickBot="1" x14ac:dyDescent="0.25">
      <c r="A41" s="3">
        <v>13</v>
      </c>
      <c r="B41" t="s">
        <v>168</v>
      </c>
      <c r="C41" s="1"/>
      <c r="D41" t="s">
        <v>169</v>
      </c>
      <c r="E41" s="5" t="s">
        <v>124</v>
      </c>
      <c r="F41">
        <f t="shared" si="0"/>
        <v>0</v>
      </c>
    </row>
    <row r="42" spans="1:6" ht="13.5" thickBot="1" x14ac:dyDescent="0.25">
      <c r="A42" s="3"/>
      <c r="C42" s="1"/>
      <c r="D42" t="s">
        <v>170</v>
      </c>
      <c r="E42" s="5" t="s">
        <v>125</v>
      </c>
      <c r="F42">
        <f t="shared" si="0"/>
        <v>0</v>
      </c>
    </row>
    <row r="43" spans="1:6" ht="9" customHeight="1" thickBot="1" x14ac:dyDescent="0.25">
      <c r="A43" s="3"/>
      <c r="F43">
        <f t="shared" si="0"/>
        <v>0</v>
      </c>
    </row>
    <row r="44" spans="1:6" ht="13.5" thickBot="1" x14ac:dyDescent="0.25">
      <c r="A44" s="3">
        <v>14</v>
      </c>
      <c r="B44" t="s">
        <v>171</v>
      </c>
      <c r="C44" s="1"/>
      <c r="D44" t="s">
        <v>172</v>
      </c>
      <c r="E44" s="5" t="s">
        <v>126</v>
      </c>
      <c r="F44">
        <f t="shared" si="0"/>
        <v>0</v>
      </c>
    </row>
    <row r="45" spans="1:6" ht="13.5" thickBot="1" x14ac:dyDescent="0.25">
      <c r="A45" s="3"/>
      <c r="C45" s="1"/>
      <c r="D45" t="s">
        <v>37</v>
      </c>
      <c r="E45" s="5" t="s">
        <v>127</v>
      </c>
      <c r="F45">
        <f t="shared" si="0"/>
        <v>0</v>
      </c>
    </row>
    <row r="46" spans="1:6" ht="9" customHeight="1" thickBot="1" x14ac:dyDescent="0.25">
      <c r="A46" s="3"/>
      <c r="F46">
        <f t="shared" si="0"/>
        <v>0</v>
      </c>
    </row>
    <row r="47" spans="1:6" ht="13.5" thickBot="1" x14ac:dyDescent="0.25">
      <c r="A47" s="3">
        <v>15</v>
      </c>
      <c r="B47" t="s">
        <v>173</v>
      </c>
      <c r="C47" s="1"/>
      <c r="D47" t="s">
        <v>38</v>
      </c>
      <c r="E47" s="5" t="s">
        <v>125</v>
      </c>
      <c r="F47">
        <f t="shared" si="0"/>
        <v>0</v>
      </c>
    </row>
    <row r="48" spans="1:6" ht="13.5" thickBot="1" x14ac:dyDescent="0.25">
      <c r="A48" s="3"/>
      <c r="C48" s="1"/>
      <c r="D48" t="s">
        <v>39</v>
      </c>
      <c r="E48" s="5" t="s">
        <v>124</v>
      </c>
      <c r="F48">
        <f t="shared" si="0"/>
        <v>0</v>
      </c>
    </row>
    <row r="49" spans="1:6" ht="9" customHeight="1" thickBot="1" x14ac:dyDescent="0.25">
      <c r="A49" s="3"/>
      <c r="F49">
        <f t="shared" si="0"/>
        <v>0</v>
      </c>
    </row>
    <row r="50" spans="1:6" ht="13.5" thickBot="1" x14ac:dyDescent="0.25">
      <c r="A50" s="3">
        <v>16</v>
      </c>
      <c r="B50" t="s">
        <v>174</v>
      </c>
      <c r="C50" s="1"/>
      <c r="D50" t="s">
        <v>97</v>
      </c>
      <c r="E50" s="5" t="s">
        <v>128</v>
      </c>
      <c r="F50">
        <f t="shared" si="0"/>
        <v>0</v>
      </c>
    </row>
    <row r="51" spans="1:6" ht="13.5" thickBot="1" x14ac:dyDescent="0.25">
      <c r="A51" s="3"/>
      <c r="C51" s="1"/>
      <c r="D51" t="s">
        <v>98</v>
      </c>
      <c r="E51" s="5" t="s">
        <v>129</v>
      </c>
      <c r="F51">
        <f t="shared" si="0"/>
        <v>0</v>
      </c>
    </row>
    <row r="52" spans="1:6" ht="9" customHeight="1" thickBot="1" x14ac:dyDescent="0.25">
      <c r="A52" s="3"/>
      <c r="F52">
        <f t="shared" si="0"/>
        <v>0</v>
      </c>
    </row>
    <row r="53" spans="1:6" ht="13.5" thickBot="1" x14ac:dyDescent="0.25">
      <c r="A53" s="3">
        <v>17</v>
      </c>
      <c r="B53" t="s">
        <v>148</v>
      </c>
      <c r="C53" s="1"/>
      <c r="D53" t="s">
        <v>99</v>
      </c>
      <c r="E53" s="5" t="s">
        <v>123</v>
      </c>
      <c r="F53">
        <f t="shared" si="0"/>
        <v>0</v>
      </c>
    </row>
    <row r="54" spans="1:6" ht="13.5" thickBot="1" x14ac:dyDescent="0.25">
      <c r="A54" s="3"/>
      <c r="C54" s="1"/>
      <c r="D54" t="s">
        <v>100</v>
      </c>
      <c r="E54" s="5" t="s">
        <v>122</v>
      </c>
      <c r="F54">
        <f t="shared" si="0"/>
        <v>0</v>
      </c>
    </row>
    <row r="55" spans="1:6" ht="9" customHeight="1" thickBot="1" x14ac:dyDescent="0.25">
      <c r="A55" s="3"/>
      <c r="F55">
        <f t="shared" si="0"/>
        <v>0</v>
      </c>
    </row>
    <row r="56" spans="1:6" ht="13.5" thickBot="1" x14ac:dyDescent="0.25">
      <c r="A56" s="3">
        <v>18</v>
      </c>
      <c r="B56" t="s">
        <v>175</v>
      </c>
      <c r="C56" s="1"/>
      <c r="D56" t="s">
        <v>176</v>
      </c>
      <c r="E56" s="5" t="s">
        <v>127</v>
      </c>
      <c r="F56">
        <f t="shared" si="0"/>
        <v>0</v>
      </c>
    </row>
    <row r="57" spans="1:6" ht="13.5" thickBot="1" x14ac:dyDescent="0.25">
      <c r="A57" s="3"/>
      <c r="C57" s="1"/>
      <c r="D57" t="s">
        <v>177</v>
      </c>
      <c r="E57" s="5" t="s">
        <v>126</v>
      </c>
      <c r="F57">
        <f t="shared" si="0"/>
        <v>0</v>
      </c>
    </row>
    <row r="58" spans="1:6" ht="9" customHeight="1" thickBot="1" x14ac:dyDescent="0.25">
      <c r="A58" s="3"/>
      <c r="C58" s="2"/>
      <c r="F58">
        <f t="shared" si="0"/>
        <v>0</v>
      </c>
    </row>
    <row r="59" spans="1:6" ht="13.5" thickBot="1" x14ac:dyDescent="0.25">
      <c r="A59" s="3">
        <v>19</v>
      </c>
      <c r="B59" t="s">
        <v>178</v>
      </c>
      <c r="C59" s="1"/>
      <c r="D59" t="s">
        <v>179</v>
      </c>
      <c r="E59" s="5" t="s">
        <v>126</v>
      </c>
      <c r="F59">
        <f t="shared" si="0"/>
        <v>0</v>
      </c>
    </row>
    <row r="60" spans="1:6" ht="13.5" thickBot="1" x14ac:dyDescent="0.25">
      <c r="A60" s="3"/>
      <c r="C60" s="1"/>
      <c r="D60" t="s">
        <v>180</v>
      </c>
      <c r="E60" s="5" t="s">
        <v>127</v>
      </c>
      <c r="F60">
        <f t="shared" si="0"/>
        <v>0</v>
      </c>
    </row>
    <row r="61" spans="1:6" ht="9" customHeight="1" thickBot="1" x14ac:dyDescent="0.25">
      <c r="A61" s="3"/>
      <c r="F61">
        <f t="shared" si="0"/>
        <v>0</v>
      </c>
    </row>
    <row r="62" spans="1:6" ht="13.5" thickBot="1" x14ac:dyDescent="0.25">
      <c r="A62" s="3">
        <v>20</v>
      </c>
      <c r="B62" t="s">
        <v>148</v>
      </c>
      <c r="C62" s="1"/>
      <c r="D62" t="s">
        <v>181</v>
      </c>
      <c r="E62" s="5" t="s">
        <v>122</v>
      </c>
      <c r="F62">
        <f t="shared" si="0"/>
        <v>0</v>
      </c>
    </row>
    <row r="63" spans="1:6" ht="13.5" thickBot="1" x14ac:dyDescent="0.25">
      <c r="A63" s="3"/>
      <c r="C63" s="1"/>
      <c r="D63" t="s">
        <v>182</v>
      </c>
      <c r="E63" s="5" t="s">
        <v>123</v>
      </c>
      <c r="F63">
        <f t="shared" si="0"/>
        <v>0</v>
      </c>
    </row>
    <row r="64" spans="1:6" ht="9" customHeight="1" thickBot="1" x14ac:dyDescent="0.25">
      <c r="A64" s="3"/>
      <c r="F64">
        <f t="shared" si="0"/>
        <v>0</v>
      </c>
    </row>
    <row r="65" spans="1:6" ht="13.5" thickBot="1" x14ac:dyDescent="0.25">
      <c r="A65" s="3">
        <v>21</v>
      </c>
      <c r="B65" t="s">
        <v>183</v>
      </c>
      <c r="C65" s="1"/>
      <c r="D65" t="s">
        <v>184</v>
      </c>
      <c r="E65" s="5" t="s">
        <v>123</v>
      </c>
      <c r="F65">
        <f t="shared" si="0"/>
        <v>0</v>
      </c>
    </row>
    <row r="66" spans="1:6" ht="13.5" thickBot="1" x14ac:dyDescent="0.25">
      <c r="A66" s="3"/>
      <c r="C66" s="1"/>
      <c r="D66" t="s">
        <v>185</v>
      </c>
      <c r="E66" s="5" t="s">
        <v>122</v>
      </c>
      <c r="F66">
        <f t="shared" si="0"/>
        <v>0</v>
      </c>
    </row>
    <row r="67" spans="1:6" ht="9" customHeight="1" thickBot="1" x14ac:dyDescent="0.25">
      <c r="A67" s="3"/>
      <c r="F67">
        <f t="shared" si="0"/>
        <v>0</v>
      </c>
    </row>
    <row r="68" spans="1:6" ht="13.5" thickBot="1" x14ac:dyDescent="0.25">
      <c r="A68" s="3">
        <v>22</v>
      </c>
      <c r="B68" t="s">
        <v>186</v>
      </c>
      <c r="C68" s="1"/>
      <c r="D68" t="s">
        <v>187</v>
      </c>
      <c r="E68" s="5" t="s">
        <v>127</v>
      </c>
      <c r="F68">
        <f t="shared" si="0"/>
        <v>0</v>
      </c>
    </row>
    <row r="69" spans="1:6" ht="13.5" thickBot="1" x14ac:dyDescent="0.25">
      <c r="A69" s="3"/>
      <c r="C69" s="1"/>
      <c r="D69" t="s">
        <v>188</v>
      </c>
      <c r="E69" s="5" t="s">
        <v>126</v>
      </c>
      <c r="F69">
        <f t="shared" si="0"/>
        <v>0</v>
      </c>
    </row>
    <row r="70" spans="1:6" ht="9" customHeight="1" thickBot="1" x14ac:dyDescent="0.25">
      <c r="A70" s="3"/>
      <c r="F70">
        <f t="shared" ref="F70:F81" si="1">IF(C70=1,E70,0)</f>
        <v>0</v>
      </c>
    </row>
    <row r="71" spans="1:6" ht="13.5" thickBot="1" x14ac:dyDescent="0.25">
      <c r="A71" s="3">
        <v>23</v>
      </c>
      <c r="B71" t="s">
        <v>189</v>
      </c>
      <c r="C71" s="1"/>
      <c r="D71" t="s">
        <v>40</v>
      </c>
      <c r="E71" s="5" t="s">
        <v>126</v>
      </c>
      <c r="F71">
        <f t="shared" si="1"/>
        <v>0</v>
      </c>
    </row>
    <row r="72" spans="1:6" ht="13.5" thickBot="1" x14ac:dyDescent="0.25">
      <c r="A72" s="3"/>
      <c r="C72" s="1"/>
      <c r="D72" t="s">
        <v>190</v>
      </c>
      <c r="E72" s="5" t="s">
        <v>127</v>
      </c>
      <c r="F72">
        <f t="shared" si="1"/>
        <v>0</v>
      </c>
    </row>
    <row r="73" spans="1:6" ht="9" customHeight="1" thickBot="1" x14ac:dyDescent="0.25">
      <c r="A73" s="3"/>
      <c r="F73">
        <f t="shared" si="1"/>
        <v>0</v>
      </c>
    </row>
    <row r="74" spans="1:6" ht="13.5" thickBot="1" x14ac:dyDescent="0.25">
      <c r="A74" s="3">
        <v>24</v>
      </c>
      <c r="B74" t="s">
        <v>191</v>
      </c>
      <c r="C74" s="1"/>
      <c r="D74" t="s">
        <v>192</v>
      </c>
      <c r="E74" s="5" t="s">
        <v>125</v>
      </c>
      <c r="F74">
        <f t="shared" si="1"/>
        <v>0</v>
      </c>
    </row>
    <row r="75" spans="1:6" ht="13.5" thickBot="1" x14ac:dyDescent="0.25">
      <c r="A75" s="3"/>
      <c r="C75" s="1"/>
      <c r="D75" t="s">
        <v>41</v>
      </c>
      <c r="E75" s="5" t="s">
        <v>124</v>
      </c>
      <c r="F75">
        <f t="shared" si="1"/>
        <v>0</v>
      </c>
    </row>
    <row r="76" spans="1:6" ht="9" customHeight="1" thickBot="1" x14ac:dyDescent="0.25">
      <c r="A76" s="3"/>
      <c r="F76">
        <f t="shared" si="1"/>
        <v>0</v>
      </c>
    </row>
    <row r="77" spans="1:6" ht="13.5" thickBot="1" x14ac:dyDescent="0.25">
      <c r="A77" s="3">
        <v>25</v>
      </c>
      <c r="B77" t="s">
        <v>193</v>
      </c>
      <c r="C77" s="1"/>
      <c r="D77" t="s">
        <v>194</v>
      </c>
      <c r="E77" s="5" t="s">
        <v>123</v>
      </c>
      <c r="F77">
        <f t="shared" si="1"/>
        <v>0</v>
      </c>
    </row>
    <row r="78" spans="1:6" ht="13.5" thickBot="1" x14ac:dyDescent="0.25">
      <c r="A78" s="3"/>
      <c r="C78" s="1"/>
      <c r="D78" t="s">
        <v>195</v>
      </c>
      <c r="E78" s="5" t="s">
        <v>122</v>
      </c>
      <c r="F78">
        <f t="shared" si="1"/>
        <v>0</v>
      </c>
    </row>
    <row r="79" spans="1:6" ht="9" customHeight="1" thickBot="1" x14ac:dyDescent="0.25">
      <c r="A79" s="3"/>
      <c r="F79">
        <f t="shared" si="1"/>
        <v>0</v>
      </c>
    </row>
    <row r="80" spans="1:6" ht="13.5" thickBot="1" x14ac:dyDescent="0.25">
      <c r="A80" s="3">
        <v>26</v>
      </c>
      <c r="B80" t="s">
        <v>196</v>
      </c>
      <c r="C80" s="1"/>
      <c r="D80" t="s">
        <v>197</v>
      </c>
      <c r="E80" s="5" t="s">
        <v>127</v>
      </c>
      <c r="F80">
        <f t="shared" si="1"/>
        <v>0</v>
      </c>
    </row>
    <row r="81" spans="3:6" ht="13.5" thickBot="1" x14ac:dyDescent="0.25">
      <c r="C81" s="1"/>
      <c r="D81" t="s">
        <v>198</v>
      </c>
      <c r="E81" s="5" t="s">
        <v>126</v>
      </c>
      <c r="F81">
        <f t="shared" si="1"/>
        <v>0</v>
      </c>
    </row>
  </sheetData>
  <mergeCells count="3">
    <mergeCell ref="A1:D1"/>
    <mergeCell ref="A2:D2"/>
    <mergeCell ref="A3:D3"/>
  </mergeCells>
  <phoneticPr fontId="0" type="noConversion"/>
  <conditionalFormatting sqref="C5:C6 C8:C9 C11:C12 C14:C15 C17:C18 C20:C21 C23:C24 C26:C27 C29:C30 C32:C33 C35:C36 C38:C39 C41:C42 C44:C45 C47:C48 C50:C51 C53:C54 C56:C57 C59:C60 C62:C63 C65:C66 C68:C69 C71:C72 C74:C75 C77:C78 C80:C81">
    <cfRule type="cellIs" dxfId="9" priority="1" stopIfTrue="1" operator="equal">
      <formula>1</formula>
    </cfRule>
  </conditionalFormatting>
  <pageMargins left="0.75" right="0.75" top="0.734251969" bottom="0.734251969" header="0.5" footer="0.5"/>
  <pageSetup orientation="landscape" verticalDpi="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O99"/>
  <sheetViews>
    <sheetView showGridLines="0" zoomScale="106" zoomScaleNormal="106" workbookViewId="0">
      <selection activeCell="M25" sqref="M25"/>
    </sheetView>
  </sheetViews>
  <sheetFormatPr baseColWidth="10" defaultColWidth="9.140625" defaultRowHeight="12.75" x14ac:dyDescent="0.2"/>
  <cols>
    <col min="1" max="1" width="5.5703125" customWidth="1"/>
    <col min="2" max="2" width="3.140625" customWidth="1"/>
    <col min="3" max="3" width="28.42578125" customWidth="1"/>
    <col min="4" max="4" width="0" style="5" hidden="1" customWidth="1"/>
    <col min="5" max="5" width="0" hidden="1" customWidth="1"/>
    <col min="6" max="6" width="10.140625" customWidth="1"/>
    <col min="7" max="7" width="4.140625" customWidth="1"/>
    <col min="8" max="11" width="9.140625" customWidth="1"/>
    <col min="12" max="12" width="4.5703125" customWidth="1"/>
    <col min="13" max="14" width="9.140625" customWidth="1"/>
    <col min="15" max="15" width="13" customWidth="1"/>
  </cols>
  <sheetData>
    <row r="1" spans="1:15" x14ac:dyDescent="0.2">
      <c r="A1" s="38" t="s">
        <v>200</v>
      </c>
      <c r="B1" s="38"/>
      <c r="C1" s="38"/>
      <c r="D1" s="38"/>
      <c r="E1" s="39"/>
      <c r="F1" s="39"/>
      <c r="G1" s="39"/>
      <c r="H1" s="39"/>
      <c r="I1" s="39"/>
      <c r="J1" s="39"/>
      <c r="K1" s="39"/>
      <c r="L1" s="39"/>
      <c r="M1" s="39"/>
      <c r="N1" s="39"/>
      <c r="O1" s="39"/>
    </row>
    <row r="2" spans="1:15" x14ac:dyDescent="0.2">
      <c r="A2" s="38" t="s">
        <v>104</v>
      </c>
      <c r="B2" s="38"/>
      <c r="C2" s="38"/>
      <c r="D2" s="38"/>
      <c r="E2" s="39"/>
      <c r="F2" s="39"/>
      <c r="G2" s="39"/>
      <c r="H2" s="39"/>
      <c r="I2" s="39"/>
      <c r="J2" s="39"/>
      <c r="K2" s="39"/>
      <c r="L2" s="39"/>
      <c r="M2" s="39"/>
      <c r="N2" s="39"/>
      <c r="O2" s="39"/>
    </row>
    <row r="3" spans="1:15" x14ac:dyDescent="0.2">
      <c r="A3" s="40" t="s">
        <v>340</v>
      </c>
      <c r="B3" s="40"/>
      <c r="C3" s="40"/>
      <c r="D3" s="40"/>
      <c r="E3" s="39"/>
      <c r="F3" s="39"/>
      <c r="G3" s="39"/>
      <c r="H3" s="39"/>
      <c r="I3" s="39"/>
      <c r="J3" s="39"/>
      <c r="K3" s="39"/>
      <c r="L3" s="39"/>
      <c r="M3" s="39"/>
      <c r="N3" s="39"/>
      <c r="O3" s="39"/>
    </row>
    <row r="4" spans="1:15" ht="13.5" thickBot="1" x14ac:dyDescent="0.25"/>
    <row r="5" spans="1:15" ht="13.5" thickBot="1" x14ac:dyDescent="0.25">
      <c r="A5" s="3">
        <v>27</v>
      </c>
      <c r="B5" s="1"/>
      <c r="C5" t="s">
        <v>201</v>
      </c>
      <c r="D5" s="5" t="s">
        <v>127</v>
      </c>
      <c r="E5">
        <f>IF(B5=1,D5,0)</f>
        <v>0</v>
      </c>
      <c r="F5" s="3">
        <v>40</v>
      </c>
      <c r="G5" s="1"/>
      <c r="H5" t="s">
        <v>211</v>
      </c>
      <c r="K5" s="3">
        <v>53</v>
      </c>
      <c r="L5" s="1"/>
      <c r="M5" t="s">
        <v>240</v>
      </c>
    </row>
    <row r="6" spans="1:15" ht="13.5" thickBot="1" x14ac:dyDescent="0.25">
      <c r="A6" s="3"/>
      <c r="B6" s="1"/>
      <c r="C6" t="s">
        <v>202</v>
      </c>
      <c r="D6" s="5" t="s">
        <v>126</v>
      </c>
      <c r="E6">
        <f t="shared" ref="E6:E43" si="0">IF(B6=1,D6,0)</f>
        <v>0</v>
      </c>
      <c r="F6" s="3"/>
      <c r="G6" s="1"/>
      <c r="H6" t="s">
        <v>250</v>
      </c>
      <c r="K6" s="3"/>
      <c r="L6" s="1"/>
      <c r="M6" t="s">
        <v>241</v>
      </c>
    </row>
    <row r="7" spans="1:15" ht="9" customHeight="1" thickBot="1" x14ac:dyDescent="0.25">
      <c r="A7" s="3"/>
      <c r="E7">
        <f t="shared" si="0"/>
        <v>0</v>
      </c>
      <c r="F7" s="3"/>
      <c r="K7" s="3"/>
    </row>
    <row r="8" spans="1:15" ht="13.5" thickBot="1" x14ac:dyDescent="0.25">
      <c r="A8" s="3">
        <v>28</v>
      </c>
      <c r="B8" s="1"/>
      <c r="C8" t="s">
        <v>203</v>
      </c>
      <c r="D8" s="5" t="s">
        <v>122</v>
      </c>
      <c r="E8">
        <f t="shared" si="0"/>
        <v>0</v>
      </c>
      <c r="F8" s="3">
        <v>41</v>
      </c>
      <c r="G8" s="1"/>
      <c r="H8" t="s">
        <v>223</v>
      </c>
      <c r="K8" s="3">
        <v>54</v>
      </c>
      <c r="L8" s="1"/>
      <c r="M8" t="s">
        <v>217</v>
      </c>
    </row>
    <row r="9" spans="1:15" ht="13.5" thickBot="1" x14ac:dyDescent="0.25">
      <c r="A9" s="3"/>
      <c r="B9" s="1"/>
      <c r="C9" t="s">
        <v>204</v>
      </c>
      <c r="D9" s="5" t="s">
        <v>123</v>
      </c>
      <c r="E9">
        <f t="shared" si="0"/>
        <v>0</v>
      </c>
      <c r="F9" s="3"/>
      <c r="G9" s="1"/>
      <c r="H9" t="s">
        <v>203</v>
      </c>
      <c r="K9" s="3"/>
      <c r="L9" s="1"/>
      <c r="M9" t="s">
        <v>242</v>
      </c>
    </row>
    <row r="10" spans="1:15" ht="9" customHeight="1" thickBot="1" x14ac:dyDescent="0.25">
      <c r="A10" s="3"/>
      <c r="E10">
        <f t="shared" si="0"/>
        <v>0</v>
      </c>
      <c r="F10" s="3"/>
    </row>
    <row r="11" spans="1:15" ht="13.5" thickBot="1" x14ac:dyDescent="0.25">
      <c r="A11" s="3">
        <v>29</v>
      </c>
      <c r="B11" s="1"/>
      <c r="C11" t="s">
        <v>205</v>
      </c>
      <c r="D11" s="5" t="s">
        <v>125</v>
      </c>
      <c r="E11">
        <f t="shared" si="0"/>
        <v>0</v>
      </c>
      <c r="F11" s="3">
        <v>42</v>
      </c>
      <c r="G11" s="1"/>
      <c r="H11" t="s">
        <v>224</v>
      </c>
      <c r="K11" s="3">
        <v>55</v>
      </c>
      <c r="L11" s="1"/>
      <c r="M11" t="s">
        <v>243</v>
      </c>
    </row>
    <row r="12" spans="1:15" ht="13.5" thickBot="1" x14ac:dyDescent="0.25">
      <c r="A12" s="3"/>
      <c r="B12" s="1"/>
      <c r="C12" t="s">
        <v>206</v>
      </c>
      <c r="D12" s="5" t="s">
        <v>124</v>
      </c>
      <c r="E12">
        <f t="shared" si="0"/>
        <v>0</v>
      </c>
      <c r="F12" s="3"/>
      <c r="G12" s="1"/>
      <c r="H12" t="s">
        <v>225</v>
      </c>
      <c r="K12" s="3"/>
      <c r="L12" s="1"/>
      <c r="M12" t="s">
        <v>211</v>
      </c>
    </row>
    <row r="13" spans="1:15" ht="9" customHeight="1" thickBot="1" x14ac:dyDescent="0.25">
      <c r="A13" s="3"/>
      <c r="E13">
        <f t="shared" si="0"/>
        <v>0</v>
      </c>
      <c r="F13" s="3"/>
      <c r="K13" s="3"/>
    </row>
    <row r="14" spans="1:15" ht="13.5" thickBot="1" x14ac:dyDescent="0.25">
      <c r="A14" s="3">
        <v>30</v>
      </c>
      <c r="B14" s="1"/>
      <c r="C14" t="s">
        <v>207</v>
      </c>
      <c r="D14" s="5" t="s">
        <v>128</v>
      </c>
      <c r="E14">
        <f t="shared" si="0"/>
        <v>0</v>
      </c>
      <c r="F14" s="3">
        <v>43</v>
      </c>
      <c r="G14" s="1"/>
      <c r="H14" t="s">
        <v>226</v>
      </c>
      <c r="K14" s="3">
        <v>56</v>
      </c>
      <c r="L14" s="1"/>
      <c r="M14" t="s">
        <v>228</v>
      </c>
    </row>
    <row r="15" spans="1:15" ht="13.5" thickBot="1" x14ac:dyDescent="0.25">
      <c r="A15" s="3"/>
      <c r="B15" s="1"/>
      <c r="C15" t="s">
        <v>208</v>
      </c>
      <c r="D15" s="5" t="s">
        <v>129</v>
      </c>
      <c r="E15">
        <f t="shared" si="0"/>
        <v>0</v>
      </c>
      <c r="F15" s="3"/>
      <c r="G15" s="1"/>
      <c r="H15" t="s">
        <v>227</v>
      </c>
      <c r="K15" s="3"/>
      <c r="L15" s="1"/>
      <c r="M15" t="s">
        <v>244</v>
      </c>
    </row>
    <row r="16" spans="1:15" ht="9" customHeight="1" thickBot="1" x14ac:dyDescent="0.25">
      <c r="A16" s="3"/>
      <c r="E16">
        <f t="shared" si="0"/>
        <v>0</v>
      </c>
      <c r="F16" s="3"/>
      <c r="K16" s="3"/>
    </row>
    <row r="17" spans="1:13" ht="13.5" thickBot="1" x14ac:dyDescent="0.25">
      <c r="A17" s="3">
        <v>31</v>
      </c>
      <c r="B17" s="1"/>
      <c r="C17" t="s">
        <v>209</v>
      </c>
      <c r="D17" s="5" t="s">
        <v>129</v>
      </c>
      <c r="E17">
        <f t="shared" si="0"/>
        <v>0</v>
      </c>
      <c r="F17" s="3">
        <v>44</v>
      </c>
      <c r="G17" s="1"/>
      <c r="H17" t="s">
        <v>212</v>
      </c>
      <c r="K17" s="3">
        <v>57</v>
      </c>
      <c r="L17" s="1"/>
      <c r="M17" t="s">
        <v>245</v>
      </c>
    </row>
    <row r="18" spans="1:13" ht="13.5" thickBot="1" x14ac:dyDescent="0.25">
      <c r="A18" s="3"/>
      <c r="B18" s="1"/>
      <c r="C18" t="s">
        <v>210</v>
      </c>
      <c r="D18" s="5" t="s">
        <v>128</v>
      </c>
      <c r="E18">
        <f t="shared" si="0"/>
        <v>0</v>
      </c>
      <c r="F18" s="3"/>
      <c r="G18" s="1"/>
      <c r="H18" t="s">
        <v>211</v>
      </c>
      <c r="K18" s="3"/>
      <c r="L18" s="1"/>
      <c r="M18" t="s">
        <v>246</v>
      </c>
    </row>
    <row r="19" spans="1:13" ht="9" customHeight="1" thickBot="1" x14ac:dyDescent="0.25">
      <c r="A19" s="3"/>
      <c r="E19">
        <f t="shared" si="0"/>
        <v>0</v>
      </c>
      <c r="F19" s="3"/>
      <c r="K19" s="3"/>
    </row>
    <row r="20" spans="1:13" ht="13.5" thickBot="1" x14ac:dyDescent="0.25">
      <c r="A20" s="3">
        <v>32</v>
      </c>
      <c r="B20" s="1"/>
      <c r="C20" t="s">
        <v>211</v>
      </c>
      <c r="D20" s="5" t="s">
        <v>124</v>
      </c>
      <c r="E20">
        <f t="shared" si="0"/>
        <v>0</v>
      </c>
      <c r="F20" s="3">
        <v>45</v>
      </c>
      <c r="G20" s="1"/>
      <c r="H20" t="s">
        <v>228</v>
      </c>
      <c r="K20" s="3">
        <v>58</v>
      </c>
      <c r="L20" s="1"/>
      <c r="M20" t="s">
        <v>247</v>
      </c>
    </row>
    <row r="21" spans="1:13" ht="13.5" thickBot="1" x14ac:dyDescent="0.25">
      <c r="A21" s="3"/>
      <c r="B21" s="1"/>
      <c r="C21" t="s">
        <v>212</v>
      </c>
      <c r="D21" s="5" t="s">
        <v>125</v>
      </c>
      <c r="E21">
        <f t="shared" si="0"/>
        <v>0</v>
      </c>
      <c r="F21" s="3"/>
      <c r="G21" s="1"/>
      <c r="H21" t="s">
        <v>229</v>
      </c>
      <c r="L21" s="1"/>
      <c r="M21" t="s">
        <v>248</v>
      </c>
    </row>
    <row r="22" spans="1:13" ht="9" customHeight="1" thickBot="1" x14ac:dyDescent="0.25">
      <c r="A22" s="3"/>
      <c r="E22">
        <f t="shared" si="0"/>
        <v>0</v>
      </c>
      <c r="F22" s="3"/>
    </row>
    <row r="23" spans="1:13" ht="13.5" thickBot="1" x14ac:dyDescent="0.25">
      <c r="A23" s="3">
        <v>33</v>
      </c>
      <c r="B23" s="1"/>
      <c r="C23" t="s">
        <v>213</v>
      </c>
      <c r="D23" s="5" t="s">
        <v>123</v>
      </c>
      <c r="E23">
        <f t="shared" si="0"/>
        <v>0</v>
      </c>
      <c r="F23" s="3">
        <v>46</v>
      </c>
      <c r="G23" s="1"/>
      <c r="H23" t="s">
        <v>230</v>
      </c>
    </row>
    <row r="24" spans="1:13" ht="13.5" thickBot="1" x14ac:dyDescent="0.25">
      <c r="A24" s="3"/>
      <c r="B24" s="1"/>
      <c r="C24" t="s">
        <v>214</v>
      </c>
      <c r="D24" s="5" t="s">
        <v>122</v>
      </c>
      <c r="E24">
        <f t="shared" si="0"/>
        <v>0</v>
      </c>
      <c r="F24" s="3"/>
      <c r="G24" s="1"/>
      <c r="H24" t="s">
        <v>231</v>
      </c>
    </row>
    <row r="25" spans="1:13" ht="9" customHeight="1" thickBot="1" x14ac:dyDescent="0.25">
      <c r="A25" s="3"/>
      <c r="E25">
        <f t="shared" si="0"/>
        <v>0</v>
      </c>
      <c r="F25" s="3"/>
    </row>
    <row r="26" spans="1:13" ht="13.5" thickBot="1" x14ac:dyDescent="0.25">
      <c r="A26" s="3">
        <v>34</v>
      </c>
      <c r="B26" s="1"/>
      <c r="C26" t="s">
        <v>215</v>
      </c>
      <c r="D26" s="5" t="s">
        <v>126</v>
      </c>
      <c r="E26">
        <f t="shared" si="0"/>
        <v>0</v>
      </c>
      <c r="F26" s="3">
        <v>47</v>
      </c>
      <c r="G26" s="1"/>
      <c r="H26" t="s">
        <v>232</v>
      </c>
    </row>
    <row r="27" spans="1:13" ht="13.5" thickBot="1" x14ac:dyDescent="0.25">
      <c r="A27" s="3"/>
      <c r="B27" s="1"/>
      <c r="C27" t="s">
        <v>217</v>
      </c>
      <c r="D27" s="5" t="s">
        <v>127</v>
      </c>
      <c r="E27">
        <f t="shared" si="0"/>
        <v>0</v>
      </c>
      <c r="F27" s="3"/>
      <c r="G27" s="1"/>
      <c r="H27" t="s">
        <v>102</v>
      </c>
    </row>
    <row r="28" spans="1:13" ht="9" customHeight="1" thickBot="1" x14ac:dyDescent="0.25">
      <c r="A28" s="3"/>
      <c r="E28">
        <f t="shared" si="0"/>
        <v>0</v>
      </c>
      <c r="F28" s="3"/>
    </row>
    <row r="29" spans="1:13" ht="13.5" thickBot="1" x14ac:dyDescent="0.25">
      <c r="A29" s="3">
        <v>35</v>
      </c>
      <c r="B29" s="1"/>
      <c r="C29" t="s">
        <v>216</v>
      </c>
      <c r="D29" s="5" t="s">
        <v>127</v>
      </c>
      <c r="E29">
        <f t="shared" si="0"/>
        <v>0</v>
      </c>
      <c r="F29" s="3">
        <v>48</v>
      </c>
      <c r="G29" s="1"/>
      <c r="H29" t="s">
        <v>233</v>
      </c>
    </row>
    <row r="30" spans="1:13" ht="13.5" thickBot="1" x14ac:dyDescent="0.25">
      <c r="A30" s="3"/>
      <c r="B30" s="1"/>
      <c r="C30" t="s">
        <v>218</v>
      </c>
      <c r="D30" s="5" t="s">
        <v>126</v>
      </c>
      <c r="E30">
        <f t="shared" si="0"/>
        <v>0</v>
      </c>
      <c r="F30" s="3"/>
      <c r="G30" s="1"/>
      <c r="H30" t="s">
        <v>234</v>
      </c>
    </row>
    <row r="31" spans="1:13" ht="9" customHeight="1" thickBot="1" x14ac:dyDescent="0.25">
      <c r="A31" s="3"/>
      <c r="E31">
        <f t="shared" si="0"/>
        <v>0</v>
      </c>
      <c r="F31" s="3"/>
    </row>
    <row r="32" spans="1:13" ht="13.5" thickBot="1" x14ac:dyDescent="0.25">
      <c r="A32" s="3">
        <v>36</v>
      </c>
      <c r="B32" s="1"/>
      <c r="C32" t="s">
        <v>235</v>
      </c>
      <c r="D32" s="5" t="s">
        <v>122</v>
      </c>
      <c r="E32">
        <f t="shared" si="0"/>
        <v>0</v>
      </c>
      <c r="F32" s="3">
        <v>49</v>
      </c>
      <c r="G32" s="1"/>
      <c r="H32" t="s">
        <v>235</v>
      </c>
    </row>
    <row r="33" spans="1:8" ht="13.5" thickBot="1" x14ac:dyDescent="0.25">
      <c r="A33" s="3"/>
      <c r="B33" s="1"/>
      <c r="C33" t="s">
        <v>219</v>
      </c>
      <c r="D33" s="5" t="s">
        <v>123</v>
      </c>
      <c r="E33">
        <f t="shared" si="0"/>
        <v>0</v>
      </c>
      <c r="F33" s="3"/>
      <c r="G33" s="1"/>
      <c r="H33" t="s">
        <v>103</v>
      </c>
    </row>
    <row r="34" spans="1:8" ht="9" customHeight="1" thickBot="1" x14ac:dyDescent="0.25">
      <c r="A34" s="3"/>
      <c r="E34">
        <f t="shared" si="0"/>
        <v>0</v>
      </c>
      <c r="F34" s="3"/>
    </row>
    <row r="35" spans="1:8" ht="13.5" thickBot="1" x14ac:dyDescent="0.25">
      <c r="A35" s="3">
        <v>37</v>
      </c>
      <c r="B35" s="1"/>
      <c r="C35" t="s">
        <v>220</v>
      </c>
      <c r="D35" s="5" t="s">
        <v>125</v>
      </c>
      <c r="E35">
        <f t="shared" si="0"/>
        <v>0</v>
      </c>
      <c r="F35" s="3">
        <v>50</v>
      </c>
      <c r="G35" s="1"/>
      <c r="H35" t="s">
        <v>236</v>
      </c>
    </row>
    <row r="36" spans="1:8" ht="13.5" thickBot="1" x14ac:dyDescent="0.25">
      <c r="A36" s="3"/>
      <c r="B36" s="1"/>
      <c r="C36" t="s">
        <v>221</v>
      </c>
      <c r="D36" s="5" t="s">
        <v>124</v>
      </c>
      <c r="E36">
        <f t="shared" si="0"/>
        <v>0</v>
      </c>
      <c r="F36" s="3"/>
      <c r="G36" s="1"/>
      <c r="H36" t="s">
        <v>206</v>
      </c>
    </row>
    <row r="37" spans="1:8" ht="9" customHeight="1" thickBot="1" x14ac:dyDescent="0.25">
      <c r="A37" s="3"/>
      <c r="E37">
        <f t="shared" si="0"/>
        <v>0</v>
      </c>
      <c r="F37" s="3"/>
    </row>
    <row r="38" spans="1:8" ht="13.5" thickBot="1" x14ac:dyDescent="0.25">
      <c r="A38" s="3">
        <v>38</v>
      </c>
      <c r="B38" s="1"/>
      <c r="C38" t="s">
        <v>101</v>
      </c>
      <c r="D38" s="5" t="s">
        <v>128</v>
      </c>
      <c r="E38">
        <f t="shared" si="0"/>
        <v>0</v>
      </c>
      <c r="F38" s="3">
        <v>51</v>
      </c>
      <c r="G38" s="1"/>
      <c r="H38" t="s">
        <v>237</v>
      </c>
    </row>
    <row r="39" spans="1:8" ht="13.5" thickBot="1" x14ac:dyDescent="0.25">
      <c r="A39" s="3"/>
      <c r="B39" s="1"/>
      <c r="C39" t="s">
        <v>222</v>
      </c>
      <c r="D39" s="5" t="s">
        <v>129</v>
      </c>
      <c r="E39">
        <f t="shared" si="0"/>
        <v>0</v>
      </c>
      <c r="F39" s="3"/>
      <c r="G39" s="1"/>
      <c r="H39" t="s">
        <v>238</v>
      </c>
    </row>
    <row r="40" spans="1:8" ht="9" customHeight="1" thickBot="1" x14ac:dyDescent="0.25">
      <c r="A40" s="3"/>
      <c r="E40">
        <f t="shared" si="0"/>
        <v>0</v>
      </c>
      <c r="F40" s="3"/>
    </row>
    <row r="41" spans="1:8" ht="13.5" thickBot="1" x14ac:dyDescent="0.25">
      <c r="A41" s="3">
        <v>39</v>
      </c>
      <c r="B41" s="1"/>
      <c r="C41" t="s">
        <v>249</v>
      </c>
      <c r="D41" s="5" t="s">
        <v>129</v>
      </c>
      <c r="E41">
        <f t="shared" si="0"/>
        <v>0</v>
      </c>
      <c r="F41" s="3">
        <v>52</v>
      </c>
      <c r="G41" s="1"/>
      <c r="H41" t="s">
        <v>238</v>
      </c>
    </row>
    <row r="42" spans="1:8" ht="13.5" thickBot="1" x14ac:dyDescent="0.25">
      <c r="A42" s="3"/>
      <c r="B42" s="1"/>
      <c r="C42" t="s">
        <v>211</v>
      </c>
      <c r="D42" s="5" t="s">
        <v>128</v>
      </c>
      <c r="E42">
        <f t="shared" si="0"/>
        <v>0</v>
      </c>
      <c r="F42" s="3"/>
      <c r="G42" s="1"/>
      <c r="H42" t="s">
        <v>239</v>
      </c>
    </row>
    <row r="43" spans="1:8" ht="9" customHeight="1" x14ac:dyDescent="0.2">
      <c r="A43" s="3"/>
      <c r="E43">
        <f t="shared" si="0"/>
        <v>0</v>
      </c>
      <c r="F43" s="3"/>
    </row>
    <row r="44" spans="1:8" x14ac:dyDescent="0.2">
      <c r="D44" s="5" t="s">
        <v>124</v>
      </c>
      <c r="E44">
        <f t="shared" ref="E44:E82" si="1">IF(G5=1,D44,0)</f>
        <v>0</v>
      </c>
    </row>
    <row r="45" spans="1:8" x14ac:dyDescent="0.2">
      <c r="D45" s="5" t="s">
        <v>125</v>
      </c>
      <c r="E45">
        <f t="shared" si="1"/>
        <v>0</v>
      </c>
    </row>
    <row r="46" spans="1:8" ht="9" customHeight="1" x14ac:dyDescent="0.2">
      <c r="E46">
        <f t="shared" si="1"/>
        <v>0</v>
      </c>
    </row>
    <row r="47" spans="1:8" x14ac:dyDescent="0.2">
      <c r="D47" s="5" t="s">
        <v>123</v>
      </c>
      <c r="E47">
        <f t="shared" si="1"/>
        <v>0</v>
      </c>
    </row>
    <row r="48" spans="1:8" x14ac:dyDescent="0.2">
      <c r="D48" s="5" t="s">
        <v>122</v>
      </c>
      <c r="E48">
        <f t="shared" si="1"/>
        <v>0</v>
      </c>
    </row>
    <row r="49" spans="4:5" ht="9" customHeight="1" x14ac:dyDescent="0.2">
      <c r="E49">
        <f t="shared" si="1"/>
        <v>0</v>
      </c>
    </row>
    <row r="50" spans="4:5" x14ac:dyDescent="0.2">
      <c r="D50" s="5" t="s">
        <v>127</v>
      </c>
      <c r="E50">
        <f t="shared" si="1"/>
        <v>0</v>
      </c>
    </row>
    <row r="51" spans="4:5" x14ac:dyDescent="0.2">
      <c r="D51" s="5" t="s">
        <v>126</v>
      </c>
      <c r="E51">
        <f t="shared" si="1"/>
        <v>0</v>
      </c>
    </row>
    <row r="52" spans="4:5" ht="9" customHeight="1" x14ac:dyDescent="0.2">
      <c r="E52">
        <f t="shared" si="1"/>
        <v>0</v>
      </c>
    </row>
    <row r="53" spans="4:5" x14ac:dyDescent="0.2">
      <c r="D53" s="5" t="s">
        <v>122</v>
      </c>
      <c r="E53">
        <f t="shared" si="1"/>
        <v>0</v>
      </c>
    </row>
    <row r="54" spans="4:5" x14ac:dyDescent="0.2">
      <c r="D54" s="5" t="s">
        <v>123</v>
      </c>
      <c r="E54">
        <f t="shared" si="1"/>
        <v>0</v>
      </c>
    </row>
    <row r="55" spans="4:5" ht="9" customHeight="1" x14ac:dyDescent="0.2">
      <c r="E55">
        <f t="shared" si="1"/>
        <v>0</v>
      </c>
    </row>
    <row r="56" spans="4:5" x14ac:dyDescent="0.2">
      <c r="D56" s="5" t="s">
        <v>125</v>
      </c>
      <c r="E56">
        <f t="shared" si="1"/>
        <v>0</v>
      </c>
    </row>
    <row r="57" spans="4:5" x14ac:dyDescent="0.2">
      <c r="D57" s="5" t="s">
        <v>124</v>
      </c>
      <c r="E57">
        <f t="shared" si="1"/>
        <v>0</v>
      </c>
    </row>
    <row r="58" spans="4:5" ht="9" customHeight="1" x14ac:dyDescent="0.2">
      <c r="E58">
        <f t="shared" si="1"/>
        <v>0</v>
      </c>
    </row>
    <row r="59" spans="4:5" x14ac:dyDescent="0.2">
      <c r="D59" s="5" t="s">
        <v>128</v>
      </c>
      <c r="E59">
        <f t="shared" si="1"/>
        <v>0</v>
      </c>
    </row>
    <row r="60" spans="4:5" x14ac:dyDescent="0.2">
      <c r="D60" s="5" t="s">
        <v>129</v>
      </c>
      <c r="E60">
        <f t="shared" si="1"/>
        <v>0</v>
      </c>
    </row>
    <row r="61" spans="4:5" ht="9" customHeight="1" x14ac:dyDescent="0.2">
      <c r="E61">
        <f t="shared" si="1"/>
        <v>0</v>
      </c>
    </row>
    <row r="62" spans="4:5" x14ac:dyDescent="0.2">
      <c r="D62" s="5" t="s">
        <v>129</v>
      </c>
      <c r="E62">
        <f t="shared" si="1"/>
        <v>0</v>
      </c>
    </row>
    <row r="63" spans="4:5" x14ac:dyDescent="0.2">
      <c r="D63" s="5" t="s">
        <v>128</v>
      </c>
      <c r="E63">
        <f t="shared" si="1"/>
        <v>0</v>
      </c>
    </row>
    <row r="64" spans="4:5" ht="9" customHeight="1" x14ac:dyDescent="0.2">
      <c r="E64">
        <f t="shared" si="1"/>
        <v>0</v>
      </c>
    </row>
    <row r="65" spans="4:5" x14ac:dyDescent="0.2">
      <c r="D65" s="5" t="s">
        <v>124</v>
      </c>
      <c r="E65">
        <f t="shared" si="1"/>
        <v>0</v>
      </c>
    </row>
    <row r="66" spans="4:5" x14ac:dyDescent="0.2">
      <c r="D66" s="5" t="s">
        <v>125</v>
      </c>
      <c r="E66">
        <f t="shared" si="1"/>
        <v>0</v>
      </c>
    </row>
    <row r="67" spans="4:5" ht="9" customHeight="1" x14ac:dyDescent="0.2">
      <c r="E67">
        <f t="shared" si="1"/>
        <v>0</v>
      </c>
    </row>
    <row r="68" spans="4:5" x14ac:dyDescent="0.2">
      <c r="D68" s="5" t="s">
        <v>127</v>
      </c>
      <c r="E68">
        <f t="shared" si="1"/>
        <v>0</v>
      </c>
    </row>
    <row r="69" spans="4:5" x14ac:dyDescent="0.2">
      <c r="D69" s="5" t="s">
        <v>126</v>
      </c>
      <c r="E69">
        <f t="shared" si="1"/>
        <v>0</v>
      </c>
    </row>
    <row r="70" spans="4:5" ht="9" customHeight="1" x14ac:dyDescent="0.2">
      <c r="E70">
        <f t="shared" si="1"/>
        <v>0</v>
      </c>
    </row>
    <row r="71" spans="4:5" x14ac:dyDescent="0.2">
      <c r="D71" s="5" t="s">
        <v>122</v>
      </c>
      <c r="E71">
        <f t="shared" si="1"/>
        <v>0</v>
      </c>
    </row>
    <row r="72" spans="4:5" x14ac:dyDescent="0.2">
      <c r="D72" s="5" t="s">
        <v>123</v>
      </c>
      <c r="E72">
        <f t="shared" si="1"/>
        <v>0</v>
      </c>
    </row>
    <row r="73" spans="4:5" ht="9" customHeight="1" x14ac:dyDescent="0.2">
      <c r="E73">
        <f t="shared" si="1"/>
        <v>0</v>
      </c>
    </row>
    <row r="74" spans="4:5" x14ac:dyDescent="0.2">
      <c r="D74" s="5" t="s">
        <v>125</v>
      </c>
      <c r="E74">
        <f t="shared" si="1"/>
        <v>0</v>
      </c>
    </row>
    <row r="75" spans="4:5" x14ac:dyDescent="0.2">
      <c r="D75" s="5" t="s">
        <v>124</v>
      </c>
      <c r="E75">
        <f t="shared" si="1"/>
        <v>0</v>
      </c>
    </row>
    <row r="76" spans="4:5" ht="9" customHeight="1" x14ac:dyDescent="0.2">
      <c r="E76">
        <f t="shared" si="1"/>
        <v>0</v>
      </c>
    </row>
    <row r="77" spans="4:5" x14ac:dyDescent="0.2">
      <c r="D77" s="5" t="s">
        <v>128</v>
      </c>
      <c r="E77">
        <f t="shared" si="1"/>
        <v>0</v>
      </c>
    </row>
    <row r="78" spans="4:5" x14ac:dyDescent="0.2">
      <c r="D78" s="5" t="s">
        <v>129</v>
      </c>
      <c r="E78">
        <f t="shared" si="1"/>
        <v>0</v>
      </c>
    </row>
    <row r="79" spans="4:5" ht="9" customHeight="1" x14ac:dyDescent="0.2">
      <c r="E79">
        <f t="shared" si="1"/>
        <v>0</v>
      </c>
    </row>
    <row r="80" spans="4:5" x14ac:dyDescent="0.2">
      <c r="D80" s="5" t="s">
        <v>129</v>
      </c>
      <c r="E80">
        <f t="shared" si="1"/>
        <v>0</v>
      </c>
    </row>
    <row r="81" spans="1:5" x14ac:dyDescent="0.2">
      <c r="D81" s="5" t="s">
        <v>128</v>
      </c>
      <c r="E81">
        <f t="shared" si="1"/>
        <v>0</v>
      </c>
    </row>
    <row r="82" spans="1:5" ht="9" customHeight="1" x14ac:dyDescent="0.2">
      <c r="E82">
        <f t="shared" si="1"/>
        <v>0</v>
      </c>
    </row>
    <row r="83" spans="1:5" x14ac:dyDescent="0.2">
      <c r="D83" s="5" t="s">
        <v>124</v>
      </c>
      <c r="E83">
        <f>IF(L5=1,D83,0)</f>
        <v>0</v>
      </c>
    </row>
    <row r="84" spans="1:5" x14ac:dyDescent="0.2">
      <c r="D84" s="5" t="s">
        <v>125</v>
      </c>
      <c r="E84">
        <f>IF(L6=1,D84,0)</f>
        <v>0</v>
      </c>
    </row>
    <row r="85" spans="1:5" ht="9" customHeight="1" x14ac:dyDescent="0.2">
      <c r="E85">
        <f>IF(L7=1,D85,0)</f>
        <v>0</v>
      </c>
    </row>
    <row r="86" spans="1:5" x14ac:dyDescent="0.2">
      <c r="D86" s="5" t="s">
        <v>127</v>
      </c>
      <c r="E86">
        <f>IF(L8=1,D86,0)</f>
        <v>0</v>
      </c>
    </row>
    <row r="87" spans="1:5" x14ac:dyDescent="0.2">
      <c r="D87" s="5" t="s">
        <v>126</v>
      </c>
      <c r="E87">
        <f>IF(L9=1,D87,0)</f>
        <v>0</v>
      </c>
    </row>
    <row r="88" spans="1:5" ht="9" customHeight="1" x14ac:dyDescent="0.2">
      <c r="A88" s="3"/>
      <c r="E88">
        <f>IF(B88=1,D88,0)</f>
        <v>0</v>
      </c>
    </row>
    <row r="89" spans="1:5" x14ac:dyDescent="0.2">
      <c r="D89" s="5" t="s">
        <v>125</v>
      </c>
      <c r="E89">
        <f t="shared" ref="E89:E99" si="2">IF(L11=1,D89,0)</f>
        <v>0</v>
      </c>
    </row>
    <row r="90" spans="1:5" x14ac:dyDescent="0.2">
      <c r="D90" s="5" t="s">
        <v>124</v>
      </c>
      <c r="E90">
        <f t="shared" si="2"/>
        <v>0</v>
      </c>
    </row>
    <row r="91" spans="1:5" ht="9" customHeight="1" x14ac:dyDescent="0.2">
      <c r="E91">
        <f t="shared" si="2"/>
        <v>0</v>
      </c>
    </row>
    <row r="92" spans="1:5" x14ac:dyDescent="0.2">
      <c r="D92" s="5" t="s">
        <v>128</v>
      </c>
      <c r="E92">
        <f t="shared" si="2"/>
        <v>0</v>
      </c>
    </row>
    <row r="93" spans="1:5" x14ac:dyDescent="0.2">
      <c r="D93" s="5" t="s">
        <v>129</v>
      </c>
      <c r="E93">
        <f t="shared" si="2"/>
        <v>0</v>
      </c>
    </row>
    <row r="94" spans="1:5" ht="9" customHeight="1" x14ac:dyDescent="0.2">
      <c r="E94">
        <f t="shared" si="2"/>
        <v>0</v>
      </c>
    </row>
    <row r="95" spans="1:5" x14ac:dyDescent="0.2">
      <c r="D95" s="5" t="s">
        <v>129</v>
      </c>
      <c r="E95">
        <f t="shared" si="2"/>
        <v>0</v>
      </c>
    </row>
    <row r="96" spans="1:5" x14ac:dyDescent="0.2">
      <c r="D96" s="5" t="s">
        <v>128</v>
      </c>
      <c r="E96">
        <f t="shared" si="2"/>
        <v>0</v>
      </c>
    </row>
    <row r="97" spans="4:5" ht="9" customHeight="1" x14ac:dyDescent="0.2">
      <c r="E97">
        <f t="shared" si="2"/>
        <v>0</v>
      </c>
    </row>
    <row r="98" spans="4:5" x14ac:dyDescent="0.2">
      <c r="D98" s="5" t="s">
        <v>124</v>
      </c>
      <c r="E98">
        <f t="shared" si="2"/>
        <v>0</v>
      </c>
    </row>
    <row r="99" spans="4:5" x14ac:dyDescent="0.2">
      <c r="D99" s="5" t="s">
        <v>125</v>
      </c>
      <c r="E99">
        <f t="shared" si="2"/>
        <v>0</v>
      </c>
    </row>
  </sheetData>
  <mergeCells count="3">
    <mergeCell ref="A1:O1"/>
    <mergeCell ref="A2:O2"/>
    <mergeCell ref="A3:O3"/>
  </mergeCells>
  <phoneticPr fontId="0" type="noConversion"/>
  <conditionalFormatting sqref="B5:B6 G5:G6 L5:L6 B8:B9 G8:G9 L8:L9 B11:B12 G11:G12 L11:L12 B14:B15 G14:G15 L14:L15 B17:B18 G17:G18 L17:L18 B20:B21 G20:G21 L20:L21 B23:B24 G23:G24 B26:B27 G26:G27 B29:B30 G29:G30 B32:B33 G32:G33 B35:B36 G35:G36 B38:B39 G38:G39 B41:B42 G41:G42">
    <cfRule type="cellIs" dxfId="8" priority="1" stopIfTrue="1" operator="equal">
      <formula>1</formula>
    </cfRule>
  </conditionalFormatting>
  <pageMargins left="0.75" right="0.75" top="0.69" bottom="0.74" header="0.5" footer="0.5"/>
  <pageSetup orientation="landscape" verticalDpi="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F63"/>
  <sheetViews>
    <sheetView showGridLines="0" workbookViewId="0">
      <selection activeCell="H5" sqref="H5"/>
    </sheetView>
  </sheetViews>
  <sheetFormatPr baseColWidth="10" defaultColWidth="9.140625" defaultRowHeight="12.75" x14ac:dyDescent="0.2"/>
  <cols>
    <col min="1" max="1" width="3.28515625" customWidth="1"/>
    <col min="2" max="2" width="55.85546875" customWidth="1"/>
    <col min="3" max="3" width="3.140625" customWidth="1"/>
    <col min="4" max="4" width="67.5703125" customWidth="1"/>
    <col min="5" max="5" width="0" style="5" hidden="1" customWidth="1"/>
    <col min="6" max="6" width="0" hidden="1" customWidth="1"/>
  </cols>
  <sheetData>
    <row r="1" spans="1:6" x14ac:dyDescent="0.2">
      <c r="A1" s="36" t="s">
        <v>328</v>
      </c>
      <c r="B1" s="36"/>
      <c r="C1" s="36"/>
      <c r="D1" s="36"/>
    </row>
    <row r="2" spans="1:6" x14ac:dyDescent="0.2">
      <c r="A2" s="36" t="s">
        <v>105</v>
      </c>
      <c r="B2" s="36"/>
      <c r="C2" s="36"/>
      <c r="D2" s="36"/>
    </row>
    <row r="3" spans="1:6" ht="13.5" thickBot="1" x14ac:dyDescent="0.25">
      <c r="A3" s="37" t="s">
        <v>341</v>
      </c>
      <c r="B3" s="37"/>
      <c r="C3" s="37"/>
      <c r="D3" s="37"/>
    </row>
    <row r="4" spans="1:6" ht="13.5" thickBot="1" x14ac:dyDescent="0.25"/>
    <row r="5" spans="1:6" ht="13.5" thickBot="1" x14ac:dyDescent="0.25">
      <c r="A5" s="3">
        <v>59</v>
      </c>
      <c r="B5" t="s">
        <v>251</v>
      </c>
      <c r="C5" s="1"/>
      <c r="D5" t="s">
        <v>252</v>
      </c>
      <c r="E5" s="5" t="s">
        <v>122</v>
      </c>
      <c r="F5">
        <f>IF(C5=1,E5,0)</f>
        <v>0</v>
      </c>
    </row>
    <row r="6" spans="1:6" ht="13.5" thickBot="1" x14ac:dyDescent="0.25">
      <c r="A6" s="3"/>
      <c r="C6" s="1"/>
      <c r="D6" t="s">
        <v>253</v>
      </c>
      <c r="E6" s="5" t="s">
        <v>123</v>
      </c>
      <c r="F6">
        <f t="shared" ref="F6:F63" si="0">IF(C6=1,E6,0)</f>
        <v>0</v>
      </c>
    </row>
    <row r="7" spans="1:6" ht="9" customHeight="1" thickBot="1" x14ac:dyDescent="0.25">
      <c r="A7" s="3"/>
      <c r="F7">
        <f t="shared" si="0"/>
        <v>0</v>
      </c>
    </row>
    <row r="8" spans="1:6" ht="13.5" thickBot="1" x14ac:dyDescent="0.25">
      <c r="A8" s="3">
        <v>60</v>
      </c>
      <c r="B8" t="s">
        <v>255</v>
      </c>
      <c r="C8" s="1"/>
      <c r="D8" t="s">
        <v>254</v>
      </c>
      <c r="E8" s="5" t="s">
        <v>127</v>
      </c>
      <c r="F8">
        <f t="shared" si="0"/>
        <v>0</v>
      </c>
    </row>
    <row r="9" spans="1:6" ht="13.5" thickBot="1" x14ac:dyDescent="0.25">
      <c r="A9" s="3"/>
      <c r="C9" s="1"/>
      <c r="D9" t="s">
        <v>256</v>
      </c>
      <c r="E9" s="5" t="s">
        <v>126</v>
      </c>
      <c r="F9">
        <f t="shared" si="0"/>
        <v>0</v>
      </c>
    </row>
    <row r="10" spans="1:6" ht="9" customHeight="1" thickBot="1" x14ac:dyDescent="0.25">
      <c r="A10" s="3"/>
      <c r="F10">
        <f t="shared" si="0"/>
        <v>0</v>
      </c>
    </row>
    <row r="11" spans="1:6" ht="13.5" thickBot="1" x14ac:dyDescent="0.25">
      <c r="A11" s="3">
        <v>61</v>
      </c>
      <c r="B11" t="s">
        <v>257</v>
      </c>
      <c r="C11" s="1"/>
      <c r="D11" t="s">
        <v>106</v>
      </c>
      <c r="E11" s="5" t="s">
        <v>124</v>
      </c>
      <c r="F11">
        <f t="shared" si="0"/>
        <v>0</v>
      </c>
    </row>
    <row r="12" spans="1:6" ht="13.5" thickBot="1" x14ac:dyDescent="0.25">
      <c r="A12" s="3"/>
      <c r="B12" t="s">
        <v>258</v>
      </c>
      <c r="C12" s="1"/>
      <c r="D12" t="s">
        <v>107</v>
      </c>
      <c r="E12" s="5" t="s">
        <v>125</v>
      </c>
      <c r="F12">
        <f t="shared" si="0"/>
        <v>0</v>
      </c>
    </row>
    <row r="13" spans="1:6" ht="9" customHeight="1" thickBot="1" x14ac:dyDescent="0.25">
      <c r="A13" s="3"/>
      <c r="F13">
        <f t="shared" si="0"/>
        <v>0</v>
      </c>
    </row>
    <row r="14" spans="1:6" ht="13.5" thickBot="1" x14ac:dyDescent="0.25">
      <c r="A14" s="3">
        <v>62</v>
      </c>
      <c r="B14" t="s">
        <v>259</v>
      </c>
      <c r="C14" s="1"/>
      <c r="D14" t="s">
        <v>42</v>
      </c>
      <c r="E14" s="5" t="s">
        <v>126</v>
      </c>
      <c r="F14">
        <f t="shared" si="0"/>
        <v>0</v>
      </c>
    </row>
    <row r="15" spans="1:6" ht="13.5" thickBot="1" x14ac:dyDescent="0.25">
      <c r="A15" s="3"/>
      <c r="B15" t="s">
        <v>260</v>
      </c>
      <c r="C15" s="1"/>
      <c r="D15" t="s">
        <v>43</v>
      </c>
      <c r="E15" s="5" t="s">
        <v>127</v>
      </c>
      <c r="F15">
        <f t="shared" si="0"/>
        <v>0</v>
      </c>
    </row>
    <row r="16" spans="1:6" ht="9" customHeight="1" thickBot="1" x14ac:dyDescent="0.25">
      <c r="A16" s="3"/>
      <c r="F16">
        <f t="shared" si="0"/>
        <v>0</v>
      </c>
    </row>
    <row r="17" spans="1:6" ht="13.5" thickBot="1" x14ac:dyDescent="0.25">
      <c r="A17" s="3">
        <v>63</v>
      </c>
      <c r="B17" t="s">
        <v>261</v>
      </c>
      <c r="C17" s="1"/>
      <c r="D17" t="s">
        <v>262</v>
      </c>
      <c r="E17" s="5" t="s">
        <v>125</v>
      </c>
      <c r="F17">
        <f t="shared" si="0"/>
        <v>0</v>
      </c>
    </row>
    <row r="18" spans="1:6" ht="13.5" thickBot="1" x14ac:dyDescent="0.25">
      <c r="A18" s="3"/>
      <c r="C18" s="1"/>
      <c r="D18" t="s">
        <v>263</v>
      </c>
      <c r="E18" s="5" t="s">
        <v>124</v>
      </c>
      <c r="F18">
        <f t="shared" si="0"/>
        <v>0</v>
      </c>
    </row>
    <row r="19" spans="1:6" ht="9" customHeight="1" thickBot="1" x14ac:dyDescent="0.25">
      <c r="A19" s="3"/>
      <c r="F19">
        <f t="shared" si="0"/>
        <v>0</v>
      </c>
    </row>
    <row r="20" spans="1:6" ht="13.5" thickBot="1" x14ac:dyDescent="0.25">
      <c r="A20" s="3">
        <v>64</v>
      </c>
      <c r="B20" t="s">
        <v>264</v>
      </c>
      <c r="C20" s="1"/>
      <c r="D20" t="s">
        <v>265</v>
      </c>
      <c r="E20" s="5" t="s">
        <v>128</v>
      </c>
      <c r="F20">
        <f t="shared" si="0"/>
        <v>0</v>
      </c>
    </row>
    <row r="21" spans="1:6" ht="13.5" thickBot="1" x14ac:dyDescent="0.25">
      <c r="A21" s="3"/>
      <c r="C21" s="1"/>
      <c r="D21" t="s">
        <v>266</v>
      </c>
      <c r="E21" s="5" t="s">
        <v>129</v>
      </c>
      <c r="F21">
        <f t="shared" si="0"/>
        <v>0</v>
      </c>
    </row>
    <row r="22" spans="1:6" ht="9" customHeight="1" thickBot="1" x14ac:dyDescent="0.25">
      <c r="A22" s="3"/>
      <c r="F22">
        <f t="shared" si="0"/>
        <v>0</v>
      </c>
    </row>
    <row r="23" spans="1:6" ht="13.5" thickBot="1" x14ac:dyDescent="0.25">
      <c r="A23" s="3">
        <v>65</v>
      </c>
      <c r="B23" t="s">
        <v>267</v>
      </c>
      <c r="C23" s="1"/>
      <c r="D23" t="s">
        <v>268</v>
      </c>
      <c r="E23" s="5" t="s">
        <v>123</v>
      </c>
      <c r="F23">
        <f t="shared" si="0"/>
        <v>0</v>
      </c>
    </row>
    <row r="24" spans="1:6" ht="13.5" thickBot="1" x14ac:dyDescent="0.25">
      <c r="A24" s="3"/>
      <c r="C24" s="1"/>
      <c r="D24" t="s">
        <v>269</v>
      </c>
      <c r="E24" s="5" t="s">
        <v>122</v>
      </c>
      <c r="F24">
        <f t="shared" si="0"/>
        <v>0</v>
      </c>
    </row>
    <row r="25" spans="1:6" ht="9" customHeight="1" thickBot="1" x14ac:dyDescent="0.25">
      <c r="A25" s="3"/>
      <c r="F25">
        <f t="shared" si="0"/>
        <v>0</v>
      </c>
    </row>
    <row r="26" spans="1:6" ht="13.5" thickBot="1" x14ac:dyDescent="0.25">
      <c r="A26" s="3">
        <v>66</v>
      </c>
      <c r="B26" t="s">
        <v>270</v>
      </c>
      <c r="C26" s="1"/>
      <c r="D26" t="s">
        <v>271</v>
      </c>
      <c r="E26" s="5" t="s">
        <v>127</v>
      </c>
      <c r="F26">
        <f t="shared" si="0"/>
        <v>0</v>
      </c>
    </row>
    <row r="27" spans="1:6" ht="13.5" thickBot="1" x14ac:dyDescent="0.25">
      <c r="A27" s="3"/>
      <c r="C27" s="1"/>
      <c r="D27" t="s">
        <v>272</v>
      </c>
      <c r="E27" s="5" t="s">
        <v>126</v>
      </c>
      <c r="F27">
        <f t="shared" si="0"/>
        <v>0</v>
      </c>
    </row>
    <row r="28" spans="1:6" ht="9" customHeight="1" thickBot="1" x14ac:dyDescent="0.25">
      <c r="A28" s="3"/>
      <c r="F28">
        <f t="shared" si="0"/>
        <v>0</v>
      </c>
    </row>
    <row r="29" spans="1:6" ht="13.5" thickBot="1" x14ac:dyDescent="0.25">
      <c r="A29" s="3">
        <v>67</v>
      </c>
      <c r="B29" t="s">
        <v>273</v>
      </c>
      <c r="C29" s="1"/>
      <c r="D29" t="s">
        <v>274</v>
      </c>
      <c r="E29" s="5" t="s">
        <v>126</v>
      </c>
      <c r="F29">
        <f t="shared" si="0"/>
        <v>0</v>
      </c>
    </row>
    <row r="30" spans="1:6" ht="13.5" thickBot="1" x14ac:dyDescent="0.25">
      <c r="A30" s="3"/>
      <c r="C30" s="1"/>
      <c r="D30" t="s">
        <v>275</v>
      </c>
      <c r="E30" s="5" t="s">
        <v>127</v>
      </c>
      <c r="F30">
        <f t="shared" si="0"/>
        <v>0</v>
      </c>
    </row>
    <row r="31" spans="1:6" ht="9" customHeight="1" thickBot="1" x14ac:dyDescent="0.25">
      <c r="A31" s="3"/>
      <c r="F31">
        <f t="shared" si="0"/>
        <v>0</v>
      </c>
    </row>
    <row r="32" spans="1:6" ht="13.5" thickBot="1" x14ac:dyDescent="0.25">
      <c r="A32" s="3">
        <v>68</v>
      </c>
      <c r="B32" t="s">
        <v>276</v>
      </c>
      <c r="C32" s="1"/>
      <c r="D32" t="s">
        <v>44</v>
      </c>
      <c r="E32" s="5" t="s">
        <v>122</v>
      </c>
      <c r="F32">
        <f t="shared" si="0"/>
        <v>0</v>
      </c>
    </row>
    <row r="33" spans="1:6" ht="13.5" thickBot="1" x14ac:dyDescent="0.25">
      <c r="A33" s="3"/>
      <c r="C33" s="1"/>
      <c r="D33" t="s">
        <v>277</v>
      </c>
      <c r="E33" s="5" t="s">
        <v>123</v>
      </c>
      <c r="F33">
        <f t="shared" si="0"/>
        <v>0</v>
      </c>
    </row>
    <row r="34" spans="1:6" ht="9" customHeight="1" thickBot="1" x14ac:dyDescent="0.25">
      <c r="A34" s="3"/>
      <c r="F34">
        <f t="shared" si="0"/>
        <v>0</v>
      </c>
    </row>
    <row r="35" spans="1:6" ht="13.5" thickBot="1" x14ac:dyDescent="0.25">
      <c r="A35" s="3">
        <v>69</v>
      </c>
      <c r="B35" t="s">
        <v>278</v>
      </c>
      <c r="C35" s="1"/>
      <c r="D35" t="s">
        <v>279</v>
      </c>
      <c r="E35" s="5" t="s">
        <v>129</v>
      </c>
      <c r="F35">
        <f t="shared" si="0"/>
        <v>0</v>
      </c>
    </row>
    <row r="36" spans="1:6" ht="13.5" thickBot="1" x14ac:dyDescent="0.25">
      <c r="A36" s="3"/>
      <c r="C36" s="1"/>
      <c r="D36" t="s">
        <v>280</v>
      </c>
      <c r="E36" s="5" t="s">
        <v>128</v>
      </c>
      <c r="F36">
        <f t="shared" si="0"/>
        <v>0</v>
      </c>
    </row>
    <row r="37" spans="1:6" ht="9" customHeight="1" thickBot="1" x14ac:dyDescent="0.25">
      <c r="A37" s="3"/>
      <c r="F37">
        <f t="shared" si="0"/>
        <v>0</v>
      </c>
    </row>
    <row r="38" spans="1:6" ht="13.5" thickBot="1" x14ac:dyDescent="0.25">
      <c r="A38" s="3">
        <v>70</v>
      </c>
      <c r="B38" t="s">
        <v>281</v>
      </c>
      <c r="C38" s="1"/>
      <c r="D38" t="s">
        <v>282</v>
      </c>
      <c r="E38" s="5" t="s">
        <v>122</v>
      </c>
      <c r="F38">
        <f t="shared" si="0"/>
        <v>0</v>
      </c>
    </row>
    <row r="39" spans="1:6" ht="13.5" thickBot="1" x14ac:dyDescent="0.25">
      <c r="A39" s="3"/>
      <c r="C39" s="1"/>
      <c r="D39" t="s">
        <v>283</v>
      </c>
      <c r="E39" s="5" t="s">
        <v>123</v>
      </c>
      <c r="F39">
        <f t="shared" si="0"/>
        <v>0</v>
      </c>
    </row>
    <row r="40" spans="1:6" ht="9" customHeight="1" thickBot="1" x14ac:dyDescent="0.25">
      <c r="A40" s="3"/>
      <c r="F40">
        <f t="shared" si="0"/>
        <v>0</v>
      </c>
    </row>
    <row r="41" spans="1:6" ht="13.5" thickBot="1" x14ac:dyDescent="0.25">
      <c r="A41" s="3">
        <v>71</v>
      </c>
      <c r="B41" t="s">
        <v>284</v>
      </c>
      <c r="C41" s="1"/>
      <c r="D41" t="s">
        <v>285</v>
      </c>
      <c r="E41" s="5" t="s">
        <v>123</v>
      </c>
      <c r="F41">
        <f t="shared" si="0"/>
        <v>0</v>
      </c>
    </row>
    <row r="42" spans="1:6" ht="13.5" thickBot="1" x14ac:dyDescent="0.25">
      <c r="A42" s="3"/>
      <c r="C42" s="1"/>
      <c r="D42" t="s">
        <v>286</v>
      </c>
      <c r="E42" s="5" t="s">
        <v>122</v>
      </c>
      <c r="F42">
        <f t="shared" si="0"/>
        <v>0</v>
      </c>
    </row>
    <row r="43" spans="1:6" ht="9" customHeight="1" thickBot="1" x14ac:dyDescent="0.25">
      <c r="A43" s="3"/>
      <c r="F43">
        <f t="shared" si="0"/>
        <v>0</v>
      </c>
    </row>
    <row r="44" spans="1:6" ht="13.5" thickBot="1" x14ac:dyDescent="0.25">
      <c r="A44" s="3">
        <v>72</v>
      </c>
      <c r="B44" t="s">
        <v>287</v>
      </c>
      <c r="C44" s="1"/>
      <c r="D44" t="s">
        <v>288</v>
      </c>
      <c r="E44" s="5" t="s">
        <v>127</v>
      </c>
      <c r="F44">
        <f t="shared" si="0"/>
        <v>0</v>
      </c>
    </row>
    <row r="45" spans="1:6" ht="13.5" thickBot="1" x14ac:dyDescent="0.25">
      <c r="A45" s="3"/>
      <c r="C45" s="1"/>
      <c r="D45" t="s">
        <v>289</v>
      </c>
      <c r="E45" s="5" t="s">
        <v>126</v>
      </c>
      <c r="F45">
        <f t="shared" si="0"/>
        <v>0</v>
      </c>
    </row>
    <row r="46" spans="1:6" ht="9" customHeight="1" thickBot="1" x14ac:dyDescent="0.25">
      <c r="A46" s="3"/>
      <c r="F46">
        <f t="shared" si="0"/>
        <v>0</v>
      </c>
    </row>
    <row r="47" spans="1:6" ht="13.5" thickBot="1" x14ac:dyDescent="0.25">
      <c r="A47" s="3">
        <v>73</v>
      </c>
      <c r="B47" t="s">
        <v>148</v>
      </c>
      <c r="C47" s="1"/>
      <c r="D47" t="s">
        <v>290</v>
      </c>
      <c r="E47" s="5" t="s">
        <v>124</v>
      </c>
      <c r="F47">
        <f t="shared" si="0"/>
        <v>0</v>
      </c>
    </row>
    <row r="48" spans="1:6" ht="13.5" thickBot="1" x14ac:dyDescent="0.25">
      <c r="A48" s="3"/>
      <c r="C48" s="1"/>
      <c r="D48" t="s">
        <v>291</v>
      </c>
      <c r="E48" s="5" t="s">
        <v>125</v>
      </c>
      <c r="F48">
        <f t="shared" si="0"/>
        <v>0</v>
      </c>
    </row>
    <row r="49" spans="1:6" ht="9" customHeight="1" thickBot="1" x14ac:dyDescent="0.25">
      <c r="A49" s="3"/>
      <c r="F49">
        <f t="shared" si="0"/>
        <v>0</v>
      </c>
    </row>
    <row r="50" spans="1:6" ht="13.5" thickBot="1" x14ac:dyDescent="0.25">
      <c r="A50" s="3">
        <v>74</v>
      </c>
      <c r="B50" t="s">
        <v>292</v>
      </c>
      <c r="C50" s="1"/>
      <c r="D50" t="s">
        <v>293</v>
      </c>
      <c r="E50" s="5" t="s">
        <v>125</v>
      </c>
      <c r="F50">
        <f t="shared" si="0"/>
        <v>0</v>
      </c>
    </row>
    <row r="51" spans="1:6" ht="13.5" thickBot="1" x14ac:dyDescent="0.25">
      <c r="A51" s="3"/>
      <c r="C51" s="1"/>
      <c r="D51" t="s">
        <v>294</v>
      </c>
      <c r="E51" s="5" t="s">
        <v>124</v>
      </c>
      <c r="F51">
        <f t="shared" si="0"/>
        <v>0</v>
      </c>
    </row>
    <row r="52" spans="1:6" ht="9" customHeight="1" thickBot="1" x14ac:dyDescent="0.25">
      <c r="A52" s="3"/>
      <c r="F52">
        <f t="shared" si="0"/>
        <v>0</v>
      </c>
    </row>
    <row r="53" spans="1:6" ht="13.5" thickBot="1" x14ac:dyDescent="0.25">
      <c r="A53" s="3">
        <v>75</v>
      </c>
      <c r="B53" t="s">
        <v>295</v>
      </c>
      <c r="C53" s="1"/>
      <c r="D53" t="s">
        <v>108</v>
      </c>
      <c r="E53" s="5" t="s">
        <v>128</v>
      </c>
      <c r="F53">
        <f t="shared" si="0"/>
        <v>0</v>
      </c>
    </row>
    <row r="54" spans="1:6" ht="13.5" thickBot="1" x14ac:dyDescent="0.25">
      <c r="A54" s="3"/>
      <c r="C54" s="1"/>
      <c r="D54" t="s">
        <v>109</v>
      </c>
      <c r="E54" s="5" t="s">
        <v>129</v>
      </c>
      <c r="F54">
        <f t="shared" si="0"/>
        <v>0</v>
      </c>
    </row>
    <row r="55" spans="1:6" ht="9" customHeight="1" thickBot="1" x14ac:dyDescent="0.25">
      <c r="A55" s="3"/>
      <c r="F55">
        <f t="shared" si="0"/>
        <v>0</v>
      </c>
    </row>
    <row r="56" spans="1:6" ht="13.5" thickBot="1" x14ac:dyDescent="0.25">
      <c r="A56" s="3">
        <v>76</v>
      </c>
      <c r="B56" t="s">
        <v>296</v>
      </c>
      <c r="C56" s="1"/>
      <c r="D56" t="s">
        <v>297</v>
      </c>
      <c r="E56" s="5" t="s">
        <v>123</v>
      </c>
      <c r="F56">
        <f t="shared" si="0"/>
        <v>0</v>
      </c>
    </row>
    <row r="57" spans="1:6" ht="13.5" thickBot="1" x14ac:dyDescent="0.25">
      <c r="A57" s="3"/>
      <c r="C57" s="1"/>
      <c r="D57" t="s">
        <v>298</v>
      </c>
      <c r="E57" s="5" t="s">
        <v>122</v>
      </c>
      <c r="F57">
        <f t="shared" si="0"/>
        <v>0</v>
      </c>
    </row>
    <row r="58" spans="1:6" ht="9" customHeight="1" thickBot="1" x14ac:dyDescent="0.25">
      <c r="A58" s="3"/>
      <c r="F58">
        <f t="shared" si="0"/>
        <v>0</v>
      </c>
    </row>
    <row r="59" spans="1:6" ht="13.5" thickBot="1" x14ac:dyDescent="0.25">
      <c r="A59" s="3">
        <v>77</v>
      </c>
      <c r="B59" t="s">
        <v>299</v>
      </c>
      <c r="C59" s="1"/>
      <c r="D59" t="s">
        <v>300</v>
      </c>
      <c r="E59" s="5" t="s">
        <v>126</v>
      </c>
      <c r="F59">
        <f t="shared" si="0"/>
        <v>0</v>
      </c>
    </row>
    <row r="60" spans="1:6" ht="13.5" thickBot="1" x14ac:dyDescent="0.25">
      <c r="A60" s="3"/>
      <c r="C60" s="1"/>
      <c r="D60" t="s">
        <v>110</v>
      </c>
      <c r="E60" s="5" t="s">
        <v>127</v>
      </c>
      <c r="F60">
        <f t="shared" si="0"/>
        <v>0</v>
      </c>
    </row>
    <row r="61" spans="1:6" ht="9" customHeight="1" thickBot="1" x14ac:dyDescent="0.25">
      <c r="A61" s="3"/>
      <c r="F61">
        <f t="shared" si="0"/>
        <v>0</v>
      </c>
    </row>
    <row r="62" spans="1:6" ht="13.5" thickBot="1" x14ac:dyDescent="0.25">
      <c r="A62" s="3">
        <v>78</v>
      </c>
      <c r="B62" t="s">
        <v>301</v>
      </c>
      <c r="C62" s="1"/>
      <c r="D62" t="s">
        <v>302</v>
      </c>
      <c r="E62" s="5" t="s">
        <v>129</v>
      </c>
      <c r="F62">
        <f t="shared" si="0"/>
        <v>0</v>
      </c>
    </row>
    <row r="63" spans="1:6" ht="13.5" thickBot="1" x14ac:dyDescent="0.25">
      <c r="C63" s="1"/>
      <c r="D63" t="s">
        <v>303</v>
      </c>
      <c r="E63" s="5" t="s">
        <v>128</v>
      </c>
      <c r="F63">
        <f t="shared" si="0"/>
        <v>0</v>
      </c>
    </row>
  </sheetData>
  <mergeCells count="3">
    <mergeCell ref="A1:D1"/>
    <mergeCell ref="A3:D3"/>
    <mergeCell ref="A2:D2"/>
  </mergeCells>
  <phoneticPr fontId="0" type="noConversion"/>
  <conditionalFormatting sqref="C5:C6 C8:C9 C11:C12 C14:C15 C17:C18 C20:C21 C23:C24 C26:C27 C29:C30 C32:C33 C35:C36 C38:C39 C41:C42 C44:C45 C47:C48 C50:C51 C53:C54 C56:C57 C59:C60 C62:C63">
    <cfRule type="cellIs" dxfId="7" priority="1" stopIfTrue="1" operator="equal">
      <formula>1</formula>
    </cfRule>
  </conditionalFormatting>
  <pageMargins left="0.55000000000000004" right="0.43" top="0.59" bottom="0.39" header="0.5" footer="0.36"/>
  <pageSetup orientation="landscape" verticalDpi="0" r:id="rId1"/>
  <headerFooter alignWithMargins="0"/>
  <cellWatches>
    <cellWatch r="D8"/>
  </cellWatche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48"/>
  <sheetViews>
    <sheetView showGridLines="0" workbookViewId="0">
      <selection activeCell="N5" sqref="N5"/>
    </sheetView>
  </sheetViews>
  <sheetFormatPr baseColWidth="10" defaultColWidth="9.140625" defaultRowHeight="12.75" x14ac:dyDescent="0.2"/>
  <cols>
    <col min="1" max="2" width="3.140625" customWidth="1"/>
    <col min="3" max="3" width="46.42578125" customWidth="1"/>
    <col min="4" max="5" width="0" hidden="1" customWidth="1"/>
    <col min="6" max="6" width="9.140625" customWidth="1"/>
    <col min="7" max="7" width="3.85546875" customWidth="1"/>
    <col min="8" max="10" width="9.140625" customWidth="1"/>
    <col min="11" max="11" width="14.28515625" customWidth="1"/>
    <col min="12" max="12" width="9.5703125" customWidth="1"/>
  </cols>
  <sheetData>
    <row r="1" spans="1:15" x14ac:dyDescent="0.2">
      <c r="A1" s="38" t="s">
        <v>35</v>
      </c>
      <c r="B1" s="38"/>
      <c r="C1" s="38"/>
      <c r="D1" s="38"/>
      <c r="E1" s="39"/>
      <c r="F1" s="39"/>
      <c r="G1" s="39"/>
      <c r="H1" s="39"/>
      <c r="I1" s="39"/>
      <c r="J1" s="39"/>
      <c r="K1" s="39"/>
      <c r="L1" s="39"/>
    </row>
    <row r="2" spans="1:15" x14ac:dyDescent="0.2">
      <c r="A2" s="38" t="s">
        <v>111</v>
      </c>
      <c r="B2" s="38"/>
      <c r="C2" s="38"/>
      <c r="D2" s="38"/>
      <c r="E2" s="39"/>
      <c r="F2" s="39"/>
      <c r="G2" s="39"/>
      <c r="H2" s="39"/>
      <c r="I2" s="39"/>
      <c r="J2" s="39"/>
      <c r="K2" s="39"/>
      <c r="L2" s="39"/>
    </row>
    <row r="3" spans="1:15" s="26" customFormat="1" ht="12.75" customHeight="1" x14ac:dyDescent="0.2">
      <c r="A3" s="40" t="s">
        <v>342</v>
      </c>
      <c r="B3" s="39"/>
      <c r="C3" s="39"/>
      <c r="D3" s="39"/>
      <c r="E3" s="39"/>
      <c r="F3" s="39"/>
      <c r="G3" s="39"/>
      <c r="H3" s="39"/>
      <c r="I3" s="39"/>
      <c r="J3" s="39"/>
      <c r="K3" s="39"/>
      <c r="L3" s="39"/>
      <c r="M3" s="30"/>
      <c r="N3" s="30"/>
      <c r="O3" s="30"/>
    </row>
    <row r="4" spans="1:15" ht="19.5" customHeight="1" thickBot="1" x14ac:dyDescent="0.25"/>
    <row r="5" spans="1:15" ht="13.5" thickBot="1" x14ac:dyDescent="0.25">
      <c r="A5" s="3">
        <v>79</v>
      </c>
      <c r="B5" s="1"/>
      <c r="C5" t="s">
        <v>236</v>
      </c>
      <c r="D5" t="s">
        <v>125</v>
      </c>
      <c r="E5">
        <f>IF(B5=1,D5,0)</f>
        <v>0</v>
      </c>
      <c r="F5" s="3">
        <v>91</v>
      </c>
      <c r="G5" s="1"/>
      <c r="H5" t="s">
        <v>322</v>
      </c>
    </row>
    <row r="6" spans="1:15" ht="13.5" thickBot="1" x14ac:dyDescent="0.25">
      <c r="A6" s="3"/>
      <c r="B6" s="1"/>
      <c r="C6" t="s">
        <v>304</v>
      </c>
      <c r="D6" t="s">
        <v>124</v>
      </c>
      <c r="E6">
        <f t="shared" ref="E6:E40" si="0">IF(B6=1,D6,0)</f>
        <v>0</v>
      </c>
      <c r="F6" s="3"/>
      <c r="G6" s="1"/>
      <c r="H6" t="s">
        <v>323</v>
      </c>
    </row>
    <row r="7" spans="1:15" ht="9" customHeight="1" thickBot="1" x14ac:dyDescent="0.25">
      <c r="A7" s="3"/>
      <c r="E7">
        <f t="shared" si="0"/>
        <v>0</v>
      </c>
      <c r="F7" s="3"/>
    </row>
    <row r="8" spans="1:15" ht="13.5" thickBot="1" x14ac:dyDescent="0.25">
      <c r="A8" s="3">
        <v>80</v>
      </c>
      <c r="B8" s="1"/>
      <c r="C8" t="s">
        <v>305</v>
      </c>
      <c r="D8" t="s">
        <v>128</v>
      </c>
      <c r="E8">
        <f t="shared" si="0"/>
        <v>0</v>
      </c>
      <c r="F8" s="3">
        <v>92</v>
      </c>
      <c r="G8" s="1"/>
      <c r="H8" t="s">
        <v>326</v>
      </c>
    </row>
    <row r="9" spans="1:15" ht="13.5" thickBot="1" x14ac:dyDescent="0.25">
      <c r="A9" s="3"/>
      <c r="B9" s="1"/>
      <c r="C9" t="s">
        <v>306</v>
      </c>
      <c r="D9" t="s">
        <v>129</v>
      </c>
      <c r="E9">
        <f t="shared" si="0"/>
        <v>0</v>
      </c>
      <c r="F9" s="3"/>
      <c r="G9" s="1"/>
      <c r="H9" t="s">
        <v>325</v>
      </c>
    </row>
    <row r="10" spans="1:15" ht="9" customHeight="1" thickBot="1" x14ac:dyDescent="0.25">
      <c r="A10" s="3"/>
      <c r="E10">
        <f t="shared" si="0"/>
        <v>0</v>
      </c>
      <c r="F10" s="3"/>
    </row>
    <row r="11" spans="1:15" ht="13.5" thickBot="1" x14ac:dyDescent="0.25">
      <c r="A11" s="3">
        <v>81</v>
      </c>
      <c r="B11" s="1"/>
      <c r="C11" t="s">
        <v>307</v>
      </c>
      <c r="D11" t="s">
        <v>129</v>
      </c>
      <c r="E11">
        <f t="shared" si="0"/>
        <v>0</v>
      </c>
      <c r="F11" s="3">
        <v>93</v>
      </c>
      <c r="G11" s="1"/>
      <c r="H11" t="s">
        <v>315</v>
      </c>
    </row>
    <row r="12" spans="1:15" ht="13.5" thickBot="1" x14ac:dyDescent="0.25">
      <c r="A12" s="3"/>
      <c r="B12" s="1"/>
      <c r="C12" t="s">
        <v>308</v>
      </c>
      <c r="D12" t="s">
        <v>128</v>
      </c>
      <c r="E12">
        <f t="shared" si="0"/>
        <v>0</v>
      </c>
      <c r="F12" s="3"/>
      <c r="G12" s="1"/>
      <c r="H12" t="s">
        <v>324</v>
      </c>
    </row>
    <row r="13" spans="1:15" ht="9" customHeight="1" thickBot="1" x14ac:dyDescent="0.25">
      <c r="A13" s="3"/>
      <c r="E13">
        <f t="shared" si="0"/>
        <v>0</v>
      </c>
    </row>
    <row r="14" spans="1:15" ht="13.5" thickBot="1" x14ac:dyDescent="0.25">
      <c r="A14" s="3">
        <v>82</v>
      </c>
      <c r="B14" s="1"/>
      <c r="C14" t="s">
        <v>309</v>
      </c>
      <c r="D14" t="s">
        <v>124</v>
      </c>
      <c r="E14">
        <f t="shared" si="0"/>
        <v>0</v>
      </c>
    </row>
    <row r="15" spans="1:15" ht="13.5" thickBot="1" x14ac:dyDescent="0.25">
      <c r="A15" s="3"/>
      <c r="B15" s="1"/>
      <c r="C15" t="s">
        <v>310</v>
      </c>
      <c r="D15" t="s">
        <v>125</v>
      </c>
      <c r="E15">
        <f t="shared" si="0"/>
        <v>0</v>
      </c>
    </row>
    <row r="16" spans="1:15" ht="9" customHeight="1" thickBot="1" x14ac:dyDescent="0.25">
      <c r="A16" s="3"/>
      <c r="E16">
        <f t="shared" si="0"/>
        <v>0</v>
      </c>
    </row>
    <row r="17" spans="1:5" ht="13.5" thickBot="1" x14ac:dyDescent="0.25">
      <c r="A17" s="3">
        <v>83</v>
      </c>
      <c r="B17" s="1"/>
      <c r="C17" t="s">
        <v>311</v>
      </c>
      <c r="D17" t="s">
        <v>125</v>
      </c>
      <c r="E17">
        <f t="shared" si="0"/>
        <v>0</v>
      </c>
    </row>
    <row r="18" spans="1:5" ht="13.5" thickBot="1" x14ac:dyDescent="0.25">
      <c r="A18" s="3"/>
      <c r="B18" s="1"/>
      <c r="C18" t="s">
        <v>312</v>
      </c>
      <c r="D18" t="s">
        <v>124</v>
      </c>
      <c r="E18">
        <f t="shared" si="0"/>
        <v>0</v>
      </c>
    </row>
    <row r="19" spans="1:5" ht="9" customHeight="1" thickBot="1" x14ac:dyDescent="0.25">
      <c r="A19" s="3"/>
      <c r="E19">
        <f t="shared" si="0"/>
        <v>0</v>
      </c>
    </row>
    <row r="20" spans="1:5" ht="13.5" thickBot="1" x14ac:dyDescent="0.25">
      <c r="A20" s="3">
        <v>84</v>
      </c>
      <c r="B20" s="1"/>
      <c r="C20" t="s">
        <v>313</v>
      </c>
      <c r="D20" t="s">
        <v>128</v>
      </c>
      <c r="E20">
        <f t="shared" si="0"/>
        <v>0</v>
      </c>
    </row>
    <row r="21" spans="1:5" ht="13.5" thickBot="1" x14ac:dyDescent="0.25">
      <c r="A21" s="3"/>
      <c r="B21" s="1"/>
      <c r="C21" t="s">
        <v>314</v>
      </c>
      <c r="D21" t="s">
        <v>129</v>
      </c>
      <c r="E21">
        <f t="shared" si="0"/>
        <v>0</v>
      </c>
    </row>
    <row r="22" spans="1:5" ht="9" customHeight="1" thickBot="1" x14ac:dyDescent="0.25">
      <c r="A22" s="3"/>
      <c r="E22">
        <f t="shared" si="0"/>
        <v>0</v>
      </c>
    </row>
    <row r="23" spans="1:5" ht="13.5" thickBot="1" x14ac:dyDescent="0.25">
      <c r="A23" s="3">
        <v>85</v>
      </c>
      <c r="B23" s="1"/>
      <c r="C23" t="s">
        <v>315</v>
      </c>
      <c r="D23" t="s">
        <v>129</v>
      </c>
      <c r="E23">
        <f t="shared" si="0"/>
        <v>0</v>
      </c>
    </row>
    <row r="24" spans="1:5" ht="13.5" thickBot="1" x14ac:dyDescent="0.25">
      <c r="A24" s="3"/>
      <c r="B24" s="1"/>
      <c r="C24" t="s">
        <v>246</v>
      </c>
      <c r="D24" t="s">
        <v>128</v>
      </c>
      <c r="E24">
        <f t="shared" si="0"/>
        <v>0</v>
      </c>
    </row>
    <row r="25" spans="1:5" ht="9" customHeight="1" thickBot="1" x14ac:dyDescent="0.25">
      <c r="A25" s="3"/>
      <c r="E25">
        <f t="shared" si="0"/>
        <v>0</v>
      </c>
    </row>
    <row r="26" spans="1:5" ht="13.5" thickBot="1" x14ac:dyDescent="0.25">
      <c r="A26" s="3">
        <v>86</v>
      </c>
      <c r="B26" s="1"/>
      <c r="C26" t="s">
        <v>317</v>
      </c>
      <c r="D26" t="s">
        <v>124</v>
      </c>
      <c r="E26">
        <f t="shared" si="0"/>
        <v>0</v>
      </c>
    </row>
    <row r="27" spans="1:5" ht="13.5" thickBot="1" x14ac:dyDescent="0.25">
      <c r="A27" s="3"/>
      <c r="B27" s="1"/>
      <c r="C27" t="s">
        <v>316</v>
      </c>
      <c r="D27" t="s">
        <v>125</v>
      </c>
      <c r="E27">
        <f t="shared" si="0"/>
        <v>0</v>
      </c>
    </row>
    <row r="28" spans="1:5" ht="9" customHeight="1" thickBot="1" x14ac:dyDescent="0.25">
      <c r="A28" s="3"/>
      <c r="E28">
        <f t="shared" si="0"/>
        <v>0</v>
      </c>
    </row>
    <row r="29" spans="1:5" ht="13.5" thickBot="1" x14ac:dyDescent="0.25">
      <c r="A29" s="3">
        <v>87</v>
      </c>
      <c r="B29" s="1"/>
      <c r="C29" t="s">
        <v>318</v>
      </c>
      <c r="D29" t="s">
        <v>125</v>
      </c>
      <c r="E29">
        <f t="shared" si="0"/>
        <v>0</v>
      </c>
    </row>
    <row r="30" spans="1:5" ht="13.5" thickBot="1" x14ac:dyDescent="0.25">
      <c r="A30" s="3"/>
      <c r="B30" s="1"/>
      <c r="C30" t="s">
        <v>319</v>
      </c>
      <c r="D30" t="s">
        <v>124</v>
      </c>
      <c r="E30">
        <f t="shared" si="0"/>
        <v>0</v>
      </c>
    </row>
    <row r="31" spans="1:5" ht="9" customHeight="1" thickBot="1" x14ac:dyDescent="0.25">
      <c r="A31" s="3"/>
      <c r="E31">
        <f t="shared" si="0"/>
        <v>0</v>
      </c>
    </row>
    <row r="32" spans="1:5" ht="13.5" thickBot="1" x14ac:dyDescent="0.25">
      <c r="A32" s="3">
        <v>88</v>
      </c>
      <c r="B32" s="1"/>
      <c r="C32" t="s">
        <v>320</v>
      </c>
      <c r="D32" t="s">
        <v>128</v>
      </c>
      <c r="E32">
        <f t="shared" si="0"/>
        <v>0</v>
      </c>
    </row>
    <row r="33" spans="1:5" ht="13.5" thickBot="1" x14ac:dyDescent="0.25">
      <c r="A33" s="3"/>
      <c r="B33" s="1"/>
      <c r="C33" t="s">
        <v>321</v>
      </c>
      <c r="D33" t="s">
        <v>129</v>
      </c>
      <c r="E33">
        <f t="shared" si="0"/>
        <v>0</v>
      </c>
    </row>
    <row r="34" spans="1:5" ht="9" customHeight="1" thickBot="1" x14ac:dyDescent="0.25">
      <c r="A34" s="3"/>
      <c r="E34">
        <f t="shared" si="0"/>
        <v>0</v>
      </c>
    </row>
    <row r="35" spans="1:5" ht="13.5" thickBot="1" x14ac:dyDescent="0.25">
      <c r="A35" s="3">
        <v>89</v>
      </c>
      <c r="B35" s="1"/>
      <c r="C35" t="s">
        <v>327</v>
      </c>
      <c r="D35" t="s">
        <v>129</v>
      </c>
      <c r="E35">
        <f t="shared" si="0"/>
        <v>0</v>
      </c>
    </row>
    <row r="36" spans="1:5" ht="13.5" thickBot="1" x14ac:dyDescent="0.25">
      <c r="A36" s="3"/>
      <c r="B36" s="1"/>
      <c r="C36" t="s">
        <v>313</v>
      </c>
      <c r="D36" t="s">
        <v>128</v>
      </c>
      <c r="E36">
        <f t="shared" si="0"/>
        <v>0</v>
      </c>
    </row>
    <row r="37" spans="1:5" ht="9" customHeight="1" thickBot="1" x14ac:dyDescent="0.25">
      <c r="A37" s="3"/>
      <c r="E37">
        <f t="shared" si="0"/>
        <v>0</v>
      </c>
    </row>
    <row r="38" spans="1:5" ht="13.5" thickBot="1" x14ac:dyDescent="0.25">
      <c r="A38" s="3">
        <v>90</v>
      </c>
      <c r="B38" s="1"/>
      <c r="C38" t="s">
        <v>206</v>
      </c>
      <c r="D38" t="s">
        <v>124</v>
      </c>
      <c r="E38">
        <f t="shared" si="0"/>
        <v>0</v>
      </c>
    </row>
    <row r="39" spans="1:5" ht="13.5" thickBot="1" x14ac:dyDescent="0.25">
      <c r="A39" s="3"/>
      <c r="B39" s="1"/>
      <c r="C39" t="s">
        <v>205</v>
      </c>
      <c r="D39" t="s">
        <v>125</v>
      </c>
      <c r="E39">
        <f t="shared" si="0"/>
        <v>0</v>
      </c>
    </row>
    <row r="40" spans="1:5" ht="9" customHeight="1" x14ac:dyDescent="0.2">
      <c r="A40" s="3"/>
      <c r="E40">
        <f t="shared" si="0"/>
        <v>0</v>
      </c>
    </row>
    <row r="41" spans="1:5" x14ac:dyDescent="0.2">
      <c r="D41" t="s">
        <v>128</v>
      </c>
      <c r="E41">
        <f t="shared" ref="E41:E48" si="1">IF(G5=1,D41,0)</f>
        <v>0</v>
      </c>
    </row>
    <row r="42" spans="1:5" x14ac:dyDescent="0.2">
      <c r="D42" t="s">
        <v>129</v>
      </c>
      <c r="E42">
        <f t="shared" si="1"/>
        <v>0</v>
      </c>
    </row>
    <row r="43" spans="1:5" ht="9" customHeight="1" x14ac:dyDescent="0.2">
      <c r="E43">
        <f t="shared" si="1"/>
        <v>0</v>
      </c>
    </row>
    <row r="44" spans="1:5" x14ac:dyDescent="0.2">
      <c r="D44" t="s">
        <v>129</v>
      </c>
      <c r="E44">
        <f t="shared" si="1"/>
        <v>0</v>
      </c>
    </row>
    <row r="45" spans="1:5" x14ac:dyDescent="0.2">
      <c r="D45" t="s">
        <v>128</v>
      </c>
      <c r="E45">
        <f t="shared" si="1"/>
        <v>0</v>
      </c>
    </row>
    <row r="46" spans="1:5" ht="9" customHeight="1" x14ac:dyDescent="0.2">
      <c r="E46">
        <f t="shared" si="1"/>
        <v>0</v>
      </c>
    </row>
    <row r="47" spans="1:5" x14ac:dyDescent="0.2">
      <c r="D47" t="s">
        <v>124</v>
      </c>
      <c r="E47">
        <f t="shared" si="1"/>
        <v>0</v>
      </c>
    </row>
    <row r="48" spans="1:5" x14ac:dyDescent="0.2">
      <c r="D48" t="s">
        <v>125</v>
      </c>
      <c r="E48">
        <f t="shared" si="1"/>
        <v>0</v>
      </c>
    </row>
  </sheetData>
  <mergeCells count="3">
    <mergeCell ref="A1:L1"/>
    <mergeCell ref="A2:L2"/>
    <mergeCell ref="A3:L3"/>
  </mergeCells>
  <phoneticPr fontId="0" type="noConversion"/>
  <conditionalFormatting sqref="B5:B6 G5:G6 B8:B9 G8:G9 B11:B12 G11:G12 B14:B15 B17:B18 B20:B21 B23:B24 B26:B27 B29:B30 B32:B33 B35:B36 B38:B39">
    <cfRule type="cellIs" dxfId="6" priority="1" stopIfTrue="1" operator="equal">
      <formula>1</formula>
    </cfRule>
  </conditionalFormatting>
  <pageMargins left="0.75" right="0.75" top="0.63" bottom="0.66" header="0.5" footer="0.5"/>
  <pageSetup scale="105" orientation="landscape" verticalDpi="0"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31"/>
  <sheetViews>
    <sheetView showGridLines="0" workbookViewId="0">
      <selection activeCell="Q6" sqref="Q6"/>
    </sheetView>
  </sheetViews>
  <sheetFormatPr baseColWidth="10" defaultColWidth="9.140625" defaultRowHeight="12.75" x14ac:dyDescent="0.2"/>
  <cols>
    <col min="1" max="1" width="3" customWidth="1"/>
    <col min="2" max="2" width="9.5703125" bestFit="1" customWidth="1"/>
    <col min="3" max="3" width="11.28515625" customWidth="1"/>
    <col min="4" max="4" width="3" customWidth="1"/>
    <col min="5" max="5" width="9.140625" customWidth="1"/>
    <col min="6" max="6" width="3" customWidth="1"/>
    <col min="7" max="7" width="12" customWidth="1"/>
    <col min="8" max="8" width="3.7109375" customWidth="1"/>
    <col min="9" max="10" width="6.5703125" customWidth="1"/>
    <col min="11" max="11" width="3.5703125" customWidth="1"/>
    <col min="12" max="12" width="12" customWidth="1"/>
    <col min="13" max="13" width="3" customWidth="1"/>
    <col min="14" max="14" width="9.140625" customWidth="1"/>
    <col min="15" max="15" width="3" customWidth="1"/>
    <col min="16" max="16" width="5.5703125" customWidth="1"/>
    <col min="17" max="17" width="16.5703125" customWidth="1"/>
    <col min="18" max="18" width="3" customWidth="1"/>
  </cols>
  <sheetData>
    <row r="1" spans="1:13" ht="16.5" thickBot="1" x14ac:dyDescent="0.3">
      <c r="A1" s="41" t="s">
        <v>49</v>
      </c>
      <c r="B1" s="41"/>
      <c r="C1" s="41"/>
      <c r="D1" s="41"/>
      <c r="E1" s="41"/>
      <c r="F1" s="41"/>
      <c r="G1" s="41"/>
      <c r="H1" s="41"/>
      <c r="I1" s="41"/>
      <c r="J1" s="41"/>
      <c r="K1" s="41"/>
      <c r="L1" s="41"/>
      <c r="M1" s="41"/>
    </row>
    <row r="3" spans="1:13" ht="13.5" thickBot="1" x14ac:dyDescent="0.25">
      <c r="A3" s="3" t="s">
        <v>50</v>
      </c>
      <c r="F3" s="3" t="s">
        <v>51</v>
      </c>
    </row>
    <row r="4" spans="1:13" ht="13.5" thickBot="1" x14ac:dyDescent="0.25">
      <c r="A4" s="47"/>
      <c r="B4" s="48"/>
      <c r="C4" s="48"/>
      <c r="D4" s="49"/>
      <c r="F4" s="13"/>
      <c r="G4" s="14"/>
      <c r="H4" s="14"/>
      <c r="I4" s="14"/>
      <c r="J4" s="14"/>
      <c r="K4" s="14"/>
      <c r="L4" s="14"/>
      <c r="M4" s="19"/>
    </row>
    <row r="5" spans="1:13" ht="15.75" thickBot="1" x14ac:dyDescent="0.3">
      <c r="A5" s="42"/>
      <c r="B5" s="7" t="str">
        <f>IF(F19=0,"N/A",(IF(F19&gt;=F18,"I","E")))</f>
        <v>N/A</v>
      </c>
      <c r="C5" s="8" t="str">
        <f>IF(B5="N/A","N/A",IF(B5=A18,IF(F18&lt;14,"Leve",IF(F18&lt;17,"Moderado",IF(F18&lt;20,"Fuerte",IF(F18&gt;=20,"Muy Fuerte",)))),IF(F19&lt;14,"Leve",IF(F19&lt;17,"Moderado",IF(F19&lt;20,"Fuerte",IF(F19&gt;=20,"Muy Fuerte"))))))</f>
        <v>N/A</v>
      </c>
      <c r="D5" s="45"/>
      <c r="F5" s="15"/>
      <c r="G5" s="16" t="s">
        <v>136</v>
      </c>
      <c r="H5" s="25" t="s">
        <v>126</v>
      </c>
      <c r="I5" s="6">
        <f>F18</f>
        <v>0</v>
      </c>
      <c r="J5" s="6">
        <f>F19</f>
        <v>0</v>
      </c>
      <c r="K5" s="25" t="s">
        <v>127</v>
      </c>
      <c r="L5" s="22" t="s">
        <v>137</v>
      </c>
      <c r="M5" s="23"/>
    </row>
    <row r="6" spans="1:13" ht="15.75" thickBot="1" x14ac:dyDescent="0.3">
      <c r="A6" s="42"/>
      <c r="B6" s="9" t="str">
        <f>IF(F21=0,"N/A",IF(F21&gt;=F20,"N","S"))</f>
        <v>N/A</v>
      </c>
      <c r="C6" s="10" t="str">
        <f>IF(B6="N/A","N/A",IF(B6=A20,IF(F20&lt;14,"Leve",IF(F20&lt;17,"Moderado",IF(F20&lt;20,"Fuerte",IF(F20&gt;=20,"Muy Fuerte",)))),IF(F21&lt;14,"Leve",IF(F21&lt;17,"Moderado",IF(F21&lt;20,"Fuerte",IF(F21&gt;=20,"Muy Fuerte"))))))</f>
        <v>N/A</v>
      </c>
      <c r="D6" s="45"/>
      <c r="F6" s="15"/>
      <c r="G6" s="16"/>
      <c r="H6" s="20"/>
      <c r="I6" s="21"/>
      <c r="J6" s="21"/>
      <c r="K6" s="20"/>
      <c r="L6" s="22"/>
      <c r="M6" s="23"/>
    </row>
    <row r="7" spans="1:13" ht="15.75" thickBot="1" x14ac:dyDescent="0.3">
      <c r="A7" s="42"/>
      <c r="B7" s="9" t="str">
        <f>IF(F23=0,"N/A",IF(F23&gt;=F22,"F","T"))</f>
        <v>N/A</v>
      </c>
      <c r="C7" s="10" t="str">
        <f>IF(B7="N/A","N/A",IF(B7=A22,IF(F22&lt;14,"Leve",IF(F22&lt;17,"Moderado",IF(F22&lt;20,"Fuerte",IF(F22&gt;=20,"Muy Fuerte",)))),IF(F23&lt;14,"Leve",IF(F23&lt;17,"Moderado",IF(F23&lt;20,"Fuerte",IF(F23&gt;=20,"Muy Fuerte"))))))</f>
        <v>N/A</v>
      </c>
      <c r="D7" s="45"/>
      <c r="F7" s="15"/>
      <c r="G7" s="16" t="s">
        <v>46</v>
      </c>
      <c r="H7" s="25" t="s">
        <v>124</v>
      </c>
      <c r="I7" s="6">
        <f>F20</f>
        <v>0</v>
      </c>
      <c r="J7" s="6">
        <f>F21</f>
        <v>0</v>
      </c>
      <c r="K7" s="25" t="s">
        <v>125</v>
      </c>
      <c r="L7" s="22" t="s">
        <v>45</v>
      </c>
      <c r="M7" s="23"/>
    </row>
    <row r="8" spans="1:13" ht="15.75" thickBot="1" x14ac:dyDescent="0.3">
      <c r="A8" s="42"/>
      <c r="B8" s="11" t="str">
        <f>IF(F25=0,"N/A",IF(F25&gt;=F24,"P","J"))</f>
        <v>N/A</v>
      </c>
      <c r="C8" s="12" t="str">
        <f>IF(B8="N/A","N/A",IF(B8=A24,IF(F24&lt;14,"Leve",IF(F24&lt;17,"Moderado",IF(F24&lt;20,"Fuerte",IF(F24&gt;=20,"Muy Fuerte",)))),IF(F25&lt;14,"Leve",IF(F25&lt;17,"Moderado",IF(F25&lt;20,"Fuerte",IF(F25&gt;=20,"Muy Fuerte"))))))</f>
        <v>N/A</v>
      </c>
      <c r="D8" s="45"/>
      <c r="F8" s="15"/>
      <c r="G8" s="16"/>
      <c r="H8" s="20"/>
      <c r="I8" s="21"/>
      <c r="J8" s="21"/>
      <c r="K8" s="20"/>
      <c r="L8" s="22"/>
      <c r="M8" s="23"/>
    </row>
    <row r="9" spans="1:13" ht="15.75" thickBot="1" x14ac:dyDescent="0.3">
      <c r="A9" s="43"/>
      <c r="B9" s="44"/>
      <c r="C9" s="44"/>
      <c r="D9" s="46"/>
      <c r="F9" s="15"/>
      <c r="G9" s="16" t="s">
        <v>209</v>
      </c>
      <c r="H9" s="25" t="s">
        <v>129</v>
      </c>
      <c r="I9" s="6">
        <f>F22</f>
        <v>0</v>
      </c>
      <c r="J9" s="6">
        <f>F23</f>
        <v>0</v>
      </c>
      <c r="K9" s="25" t="s">
        <v>128</v>
      </c>
      <c r="L9" s="22" t="s">
        <v>210</v>
      </c>
      <c r="M9" s="23"/>
    </row>
    <row r="10" spans="1:13" ht="15.75" thickBot="1" x14ac:dyDescent="0.3">
      <c r="F10" s="15"/>
      <c r="G10" s="16"/>
      <c r="H10" s="20"/>
      <c r="I10" s="21"/>
      <c r="J10" s="21"/>
      <c r="K10" s="20"/>
      <c r="L10" s="22"/>
      <c r="M10" s="23"/>
    </row>
    <row r="11" spans="1:13" ht="15.75" thickBot="1" x14ac:dyDescent="0.3">
      <c r="F11" s="15"/>
      <c r="G11" s="16" t="s">
        <v>47</v>
      </c>
      <c r="H11" s="25" t="s">
        <v>122</v>
      </c>
      <c r="I11" s="6">
        <f>F24</f>
        <v>0</v>
      </c>
      <c r="J11" s="6">
        <f>F25</f>
        <v>0</v>
      </c>
      <c r="K11" s="25" t="s">
        <v>123</v>
      </c>
      <c r="L11" s="22" t="s">
        <v>48</v>
      </c>
      <c r="M11" s="23"/>
    </row>
    <row r="12" spans="1:13" ht="13.5" thickBot="1" x14ac:dyDescent="0.25">
      <c r="F12" s="17"/>
      <c r="G12" s="18"/>
      <c r="H12" s="18"/>
      <c r="I12" s="18"/>
      <c r="J12" s="18"/>
      <c r="K12" s="18"/>
      <c r="L12" s="18"/>
      <c r="M12" s="24"/>
    </row>
    <row r="14" spans="1:13" x14ac:dyDescent="0.2">
      <c r="F14" s="50"/>
    </row>
    <row r="15" spans="1:13" x14ac:dyDescent="0.2">
      <c r="A15" s="27"/>
      <c r="F15" s="50"/>
    </row>
    <row r="16" spans="1:13" hidden="1" x14ac:dyDescent="0.2">
      <c r="A16" s="3" t="s">
        <v>130</v>
      </c>
      <c r="F16" s="50"/>
    </row>
    <row r="17" spans="1:6" hidden="1" x14ac:dyDescent="0.2">
      <c r="B17" s="4" t="s">
        <v>131</v>
      </c>
      <c r="C17" s="4" t="s">
        <v>132</v>
      </c>
      <c r="D17" s="4" t="s">
        <v>133</v>
      </c>
      <c r="E17" s="4" t="s">
        <v>134</v>
      </c>
      <c r="F17" s="51" t="s">
        <v>135</v>
      </c>
    </row>
    <row r="18" spans="1:6" hidden="1" x14ac:dyDescent="0.2">
      <c r="A18" s="4" t="s">
        <v>126</v>
      </c>
      <c r="B18">
        <f>COUNTIF('Parte I'!$F$5:$F$81,A18)</f>
        <v>0</v>
      </c>
      <c r="C18">
        <f>COUNTIF('Parte II'!$E$5:$E$99,Resultados!A18)</f>
        <v>0</v>
      </c>
      <c r="D18">
        <f>COUNTIF('Parte III'!$F$5:$F$63,Resultados!A18)</f>
        <v>0</v>
      </c>
      <c r="E18">
        <f>COUNTIF('Parte IV'!$E$5:$E$48,Resultados!A18)</f>
        <v>0</v>
      </c>
      <c r="F18" s="52">
        <f>SUM(B18:E18)</f>
        <v>0</v>
      </c>
    </row>
    <row r="19" spans="1:6" hidden="1" x14ac:dyDescent="0.2">
      <c r="A19" s="4" t="s">
        <v>127</v>
      </c>
      <c r="B19">
        <f>COUNTIF('Parte I'!$F$5:$F$81,A19)</f>
        <v>0</v>
      </c>
      <c r="C19">
        <f>COUNTIF('Parte II'!$E$5:$E$99,Resultados!A19)</f>
        <v>0</v>
      </c>
      <c r="D19">
        <f>COUNTIF('Parte III'!$F$5:$F$63,Resultados!A19)</f>
        <v>0</v>
      </c>
      <c r="E19">
        <f>COUNTIF('Parte IV'!$E$5:$E$48,Resultados!A19)</f>
        <v>0</v>
      </c>
      <c r="F19" s="52">
        <f t="shared" ref="F19:F25" si="0">SUM(B19:E19)</f>
        <v>0</v>
      </c>
    </row>
    <row r="20" spans="1:6" hidden="1" x14ac:dyDescent="0.2">
      <c r="A20" s="4" t="s">
        <v>124</v>
      </c>
      <c r="B20">
        <f>COUNTIF('Parte I'!$F$5:$F$81,A20)</f>
        <v>0</v>
      </c>
      <c r="C20">
        <f>COUNTIF('Parte II'!$E$5:$E$99,Resultados!A20)</f>
        <v>0</v>
      </c>
      <c r="D20">
        <f>COUNTIF('Parte III'!$F$5:$F$63,Resultados!A20)</f>
        <v>0</v>
      </c>
      <c r="E20">
        <f>COUNTIF('Parte IV'!$E$5:$E$48,Resultados!A20)</f>
        <v>0</v>
      </c>
      <c r="F20" s="52">
        <f t="shared" si="0"/>
        <v>0</v>
      </c>
    </row>
    <row r="21" spans="1:6" hidden="1" x14ac:dyDescent="0.2">
      <c r="A21" s="4" t="s">
        <v>125</v>
      </c>
      <c r="B21">
        <f>COUNTIF('Parte I'!$F$5:$F$81,A21)</f>
        <v>0</v>
      </c>
      <c r="C21">
        <f>COUNTIF('Parte II'!$E$5:$E$99,Resultados!A21)</f>
        <v>0</v>
      </c>
      <c r="D21">
        <f>COUNTIF('Parte III'!$F$5:$F$63,Resultados!A21)</f>
        <v>0</v>
      </c>
      <c r="E21">
        <f>COUNTIF('Parte IV'!$E$5:$E$48,Resultados!A21)</f>
        <v>0</v>
      </c>
      <c r="F21" s="52">
        <f t="shared" si="0"/>
        <v>0</v>
      </c>
    </row>
    <row r="22" spans="1:6" hidden="1" x14ac:dyDescent="0.2">
      <c r="A22" s="4" t="s">
        <v>129</v>
      </c>
      <c r="B22">
        <f>COUNTIF('Parte I'!$F$5:$F$81,A22)</f>
        <v>0</v>
      </c>
      <c r="C22">
        <f>COUNTIF('Parte II'!$E$5:$E$99,Resultados!A22)</f>
        <v>0</v>
      </c>
      <c r="D22">
        <f>COUNTIF('Parte III'!$F$5:$F$63,Resultados!A22)</f>
        <v>0</v>
      </c>
      <c r="E22">
        <f>COUNTIF('Parte IV'!$E$5:$E$48,Resultados!A22)</f>
        <v>0</v>
      </c>
      <c r="F22" s="52">
        <f t="shared" si="0"/>
        <v>0</v>
      </c>
    </row>
    <row r="23" spans="1:6" hidden="1" x14ac:dyDescent="0.2">
      <c r="A23" s="4" t="s">
        <v>128</v>
      </c>
      <c r="B23">
        <f>COUNTIF('Parte I'!$F$5:$F$81,A23)</f>
        <v>0</v>
      </c>
      <c r="C23">
        <f>COUNTIF('Parte II'!$E$5:$E$99,Resultados!A23)</f>
        <v>0</v>
      </c>
      <c r="D23">
        <f>COUNTIF('Parte III'!$F$5:$F$63,Resultados!A23)</f>
        <v>0</v>
      </c>
      <c r="E23">
        <f>COUNTIF('Parte IV'!$E$5:$E$48,Resultados!A23)</f>
        <v>0</v>
      </c>
      <c r="F23" s="52">
        <f t="shared" si="0"/>
        <v>0</v>
      </c>
    </row>
    <row r="24" spans="1:6" hidden="1" x14ac:dyDescent="0.2">
      <c r="A24" s="4" t="s">
        <v>122</v>
      </c>
      <c r="B24">
        <f>COUNTIF('Parte I'!$F$5:$F$81,A24)</f>
        <v>0</v>
      </c>
      <c r="C24">
        <f>COUNTIF('Parte II'!$E$5:$E$99,Resultados!A24)</f>
        <v>0</v>
      </c>
      <c r="D24">
        <f>COUNTIF('Parte III'!$F$5:$F$63,Resultados!A24)</f>
        <v>0</v>
      </c>
      <c r="E24">
        <f>COUNTIF('Parte IV'!$E$5:$E$48,Resultados!A24)</f>
        <v>0</v>
      </c>
      <c r="F24" s="52">
        <f t="shared" si="0"/>
        <v>0</v>
      </c>
    </row>
    <row r="25" spans="1:6" hidden="1" x14ac:dyDescent="0.2">
      <c r="A25" s="4" t="s">
        <v>123</v>
      </c>
      <c r="B25">
        <f>COUNTIF('Parte I'!$F$5:$F$81,A25)</f>
        <v>0</v>
      </c>
      <c r="C25">
        <f>COUNTIF('Parte II'!$E$5:$E$99,Resultados!A25)</f>
        <v>0</v>
      </c>
      <c r="D25">
        <f>COUNTIF('Parte III'!$F$5:$F$63,Resultados!A25)</f>
        <v>0</v>
      </c>
      <c r="E25">
        <f>COUNTIF('Parte IV'!$E$5:$E$48,Resultados!A25)</f>
        <v>0</v>
      </c>
      <c r="F25" s="52">
        <f t="shared" si="0"/>
        <v>0</v>
      </c>
    </row>
    <row r="26" spans="1:6" x14ac:dyDescent="0.2">
      <c r="F26" s="50"/>
    </row>
    <row r="27" spans="1:6" x14ac:dyDescent="0.2">
      <c r="F27" s="50"/>
    </row>
    <row r="28" spans="1:6" x14ac:dyDescent="0.2">
      <c r="F28" s="50"/>
    </row>
    <row r="29" spans="1:6" x14ac:dyDescent="0.2">
      <c r="F29" s="50"/>
    </row>
    <row r="30" spans="1:6" x14ac:dyDescent="0.2">
      <c r="F30" s="50"/>
    </row>
    <row r="31" spans="1:6" x14ac:dyDescent="0.2">
      <c r="F31" s="50"/>
    </row>
  </sheetData>
  <mergeCells count="5">
    <mergeCell ref="A1:M1"/>
    <mergeCell ref="A5:A8"/>
    <mergeCell ref="A9:C9"/>
    <mergeCell ref="D5:D9"/>
    <mergeCell ref="A4:D4"/>
  </mergeCells>
  <phoneticPr fontId="0" type="noConversion"/>
  <conditionalFormatting sqref="I5">
    <cfRule type="cellIs" dxfId="5" priority="1" stopIfTrue="1" operator="greaterThan">
      <formula>$J$5</formula>
    </cfRule>
  </conditionalFormatting>
  <conditionalFormatting sqref="I7">
    <cfRule type="cellIs" dxfId="4" priority="2" stopIfTrue="1" operator="greaterThan">
      <formula>$J$7</formula>
    </cfRule>
  </conditionalFormatting>
  <conditionalFormatting sqref="I9">
    <cfRule type="cellIs" dxfId="3" priority="3" stopIfTrue="1" operator="greaterThan">
      <formula>$J$9</formula>
    </cfRule>
  </conditionalFormatting>
  <conditionalFormatting sqref="I11">
    <cfRule type="cellIs" dxfId="2" priority="4" stopIfTrue="1" operator="greaterThan">
      <formula>$J$11</formula>
    </cfRule>
  </conditionalFormatting>
  <conditionalFormatting sqref="J5 J7 J9 J11">
    <cfRule type="cellIs" dxfId="1" priority="5" stopIfTrue="1" operator="equal">
      <formula>0</formula>
    </cfRule>
    <cfRule type="cellIs" dxfId="0" priority="6" stopIfTrue="1" operator="greaterThanOrEqual">
      <formula>$I$5</formula>
    </cfRule>
  </conditionalFormatting>
  <pageMargins left="0.75" right="0.75" top="1" bottom="1" header="0.5" footer="0.5"/>
  <pageSetup orientation="portrait" horizontalDpi="0" verticalDpi="0"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21"/>
  <sheetViews>
    <sheetView showGridLines="0" workbookViewId="0">
      <selection activeCell="A22" sqref="A22"/>
    </sheetView>
  </sheetViews>
  <sheetFormatPr baseColWidth="10" defaultRowHeight="12.75" x14ac:dyDescent="0.2"/>
  <cols>
    <col min="1" max="1" width="136.140625" customWidth="1"/>
  </cols>
  <sheetData>
    <row r="1" spans="1:1" ht="38.25" x14ac:dyDescent="0.2">
      <c r="A1" s="29" t="s">
        <v>52</v>
      </c>
    </row>
    <row r="3" spans="1:1" ht="51" x14ac:dyDescent="0.2">
      <c r="A3" s="29" t="s">
        <v>53</v>
      </c>
    </row>
    <row r="5" spans="1:1" ht="51" x14ac:dyDescent="0.2">
      <c r="A5" s="29" t="s">
        <v>54</v>
      </c>
    </row>
    <row r="7" spans="1:1" ht="63.75" x14ac:dyDescent="0.2">
      <c r="A7" s="29" t="s">
        <v>4</v>
      </c>
    </row>
    <row r="9" spans="1:1" ht="38.25" x14ac:dyDescent="0.2">
      <c r="A9" s="29" t="s">
        <v>55</v>
      </c>
    </row>
    <row r="11" spans="1:1" x14ac:dyDescent="0.2">
      <c r="A11" t="s">
        <v>13</v>
      </c>
    </row>
    <row r="12" spans="1:1" x14ac:dyDescent="0.2">
      <c r="A12" t="s">
        <v>5</v>
      </c>
    </row>
    <row r="13" spans="1:1" x14ac:dyDescent="0.2">
      <c r="A13" t="s">
        <v>6</v>
      </c>
    </row>
    <row r="14" spans="1:1" x14ac:dyDescent="0.2">
      <c r="A14" t="s">
        <v>7</v>
      </c>
    </row>
    <row r="15" spans="1:1" x14ac:dyDescent="0.2">
      <c r="A15" t="s">
        <v>8</v>
      </c>
    </row>
    <row r="16" spans="1:1" x14ac:dyDescent="0.2">
      <c r="A16" t="s">
        <v>9</v>
      </c>
    </row>
    <row r="17" spans="1:1" x14ac:dyDescent="0.2">
      <c r="A17" t="s">
        <v>10</v>
      </c>
    </row>
    <row r="18" spans="1:1" x14ac:dyDescent="0.2">
      <c r="A18" t="s">
        <v>11</v>
      </c>
    </row>
    <row r="19" spans="1:1" x14ac:dyDescent="0.2">
      <c r="A19" t="s">
        <v>12</v>
      </c>
    </row>
    <row r="21" spans="1:1" x14ac:dyDescent="0.2">
      <c r="A21" t="s">
        <v>14</v>
      </c>
    </row>
  </sheetData>
  <phoneticPr fontId="0" type="noConversion"/>
  <pageMargins left="0.75" right="0.75" top="1" bottom="1" header="0" footer="0"/>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8"/>
  <sheetViews>
    <sheetView showGridLines="0" workbookViewId="0">
      <selection activeCell="A6" sqref="A6"/>
    </sheetView>
  </sheetViews>
  <sheetFormatPr baseColWidth="10" defaultRowHeight="12.75" x14ac:dyDescent="0.2"/>
  <cols>
    <col min="1" max="1" width="137.28515625" customWidth="1"/>
  </cols>
  <sheetData>
    <row r="1" spans="1:1" ht="89.25" x14ac:dyDescent="0.2">
      <c r="A1" s="29" t="s">
        <v>56</v>
      </c>
    </row>
    <row r="3" spans="1:1" ht="63.75" x14ac:dyDescent="0.2">
      <c r="A3" s="29" t="s">
        <v>79</v>
      </c>
    </row>
    <row r="4" spans="1:1" x14ac:dyDescent="0.2">
      <c r="A4" s="29"/>
    </row>
    <row r="5" spans="1:1" ht="114.75" x14ac:dyDescent="0.2">
      <c r="A5" s="29" t="s">
        <v>80</v>
      </c>
    </row>
    <row r="6" spans="1:1" x14ac:dyDescent="0.2">
      <c r="A6" s="29"/>
    </row>
    <row r="7" spans="1:1" ht="63.75" x14ac:dyDescent="0.2">
      <c r="A7" s="29" t="s">
        <v>81</v>
      </c>
    </row>
    <row r="8" spans="1:1" x14ac:dyDescent="0.2">
      <c r="A8" s="29"/>
    </row>
  </sheetData>
  <phoneticPr fontId="0" type="noConversion"/>
  <pageMargins left="0.75" right="0.75" top="1" bottom="1" header="0" footer="0"/>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7"/>
  <sheetViews>
    <sheetView showGridLines="0" workbookViewId="0"/>
  </sheetViews>
  <sheetFormatPr baseColWidth="10" defaultRowHeight="12.75" x14ac:dyDescent="0.2"/>
  <cols>
    <col min="1" max="1" width="137.28515625" customWidth="1"/>
  </cols>
  <sheetData>
    <row r="1" spans="1:1" ht="89.25" x14ac:dyDescent="0.2">
      <c r="A1" s="29" t="s">
        <v>72</v>
      </c>
    </row>
    <row r="3" spans="1:1" ht="114.75" x14ac:dyDescent="0.2">
      <c r="A3" s="29" t="s">
        <v>73</v>
      </c>
    </row>
    <row r="4" spans="1:1" x14ac:dyDescent="0.2">
      <c r="A4" s="29"/>
    </row>
    <row r="5" spans="1:1" ht="76.5" x14ac:dyDescent="0.2">
      <c r="A5" s="29" t="s">
        <v>0</v>
      </c>
    </row>
    <row r="6" spans="1:1" x14ac:dyDescent="0.2">
      <c r="A6" s="29"/>
    </row>
    <row r="7" spans="1:1" ht="25.5" x14ac:dyDescent="0.2">
      <c r="A7" s="29" t="s">
        <v>1</v>
      </c>
    </row>
  </sheetData>
  <phoneticPr fontId="0" type="noConversion"/>
  <pageMargins left="0.75" right="0.75" top="1" bottom="1" header="0" footer="0"/>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10"/>
  <sheetViews>
    <sheetView showGridLines="0" workbookViewId="0">
      <selection activeCell="A2" sqref="A2"/>
    </sheetView>
  </sheetViews>
  <sheetFormatPr baseColWidth="10" defaultRowHeight="12.75" x14ac:dyDescent="0.2"/>
  <cols>
    <col min="1" max="1" width="136.85546875" customWidth="1"/>
  </cols>
  <sheetData>
    <row r="1" spans="1:1" ht="63.75" x14ac:dyDescent="0.2">
      <c r="A1" s="29" t="s">
        <v>82</v>
      </c>
    </row>
    <row r="3" spans="1:1" ht="63.75" x14ac:dyDescent="0.2">
      <c r="A3" s="29" t="s">
        <v>83</v>
      </c>
    </row>
    <row r="4" spans="1:1" x14ac:dyDescent="0.2">
      <c r="A4" s="29"/>
    </row>
    <row r="5" spans="1:1" ht="114.75" x14ac:dyDescent="0.2">
      <c r="A5" s="29" t="s">
        <v>84</v>
      </c>
    </row>
    <row r="6" spans="1:1" x14ac:dyDescent="0.2">
      <c r="A6" s="29"/>
    </row>
    <row r="7" spans="1:1" ht="51" x14ac:dyDescent="0.2">
      <c r="A7" s="29" t="s">
        <v>85</v>
      </c>
    </row>
    <row r="8" spans="1:1" x14ac:dyDescent="0.2">
      <c r="A8" s="29"/>
    </row>
    <row r="9" spans="1:1" ht="102" x14ac:dyDescent="0.2">
      <c r="A9" s="29" t="s">
        <v>86</v>
      </c>
    </row>
    <row r="10" spans="1:1" x14ac:dyDescent="0.2">
      <c r="A10" s="29"/>
    </row>
  </sheetData>
  <phoneticPr fontId="0" type="noConversion"/>
  <pageMargins left="0.75" right="0.75" top="1" bottom="1" header="0" footer="0"/>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9"/>
  <sheetViews>
    <sheetView showGridLines="0" workbookViewId="0">
      <selection activeCell="A8" sqref="A8"/>
    </sheetView>
  </sheetViews>
  <sheetFormatPr baseColWidth="10" defaultRowHeight="12.75" x14ac:dyDescent="0.2"/>
  <cols>
    <col min="1" max="1" width="137" customWidth="1"/>
  </cols>
  <sheetData>
    <row r="1" spans="1:1" ht="51" x14ac:dyDescent="0.2">
      <c r="A1" s="29" t="s">
        <v>66</v>
      </c>
    </row>
    <row r="3" spans="1:1" ht="63.75" x14ac:dyDescent="0.2">
      <c r="A3" s="29" t="s">
        <v>67</v>
      </c>
    </row>
    <row r="4" spans="1:1" x14ac:dyDescent="0.2">
      <c r="A4" s="29"/>
    </row>
    <row r="5" spans="1:1" ht="38.25" x14ac:dyDescent="0.2">
      <c r="A5" s="29" t="s">
        <v>68</v>
      </c>
    </row>
    <row r="6" spans="1:1" x14ac:dyDescent="0.2">
      <c r="A6" s="29"/>
    </row>
    <row r="7" spans="1:1" ht="63.75" x14ac:dyDescent="0.2">
      <c r="A7" s="29" t="s">
        <v>69</v>
      </c>
    </row>
    <row r="8" spans="1:1" x14ac:dyDescent="0.2">
      <c r="A8" s="29"/>
    </row>
    <row r="9" spans="1:1" ht="102" x14ac:dyDescent="0.2">
      <c r="A9" s="29" t="s">
        <v>70</v>
      </c>
    </row>
  </sheetData>
  <phoneticPr fontId="0" type="noConversion"/>
  <pageMargins left="0.75" right="0.75" top="1" bottom="1" header="0" footer="0"/>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9"/>
  <sheetViews>
    <sheetView showGridLines="0" workbookViewId="0">
      <selection activeCell="A2" sqref="A2"/>
    </sheetView>
  </sheetViews>
  <sheetFormatPr baseColWidth="10" defaultRowHeight="12.75" x14ac:dyDescent="0.2"/>
  <cols>
    <col min="1" max="1" width="137.28515625" customWidth="1"/>
  </cols>
  <sheetData>
    <row r="1" spans="1:1" ht="51" x14ac:dyDescent="0.2">
      <c r="A1" s="29" t="s">
        <v>15</v>
      </c>
    </row>
    <row r="3" spans="1:1" ht="38.25" x14ac:dyDescent="0.2">
      <c r="A3" s="29" t="s">
        <v>16</v>
      </c>
    </row>
    <row r="4" spans="1:1" x14ac:dyDescent="0.2">
      <c r="A4" s="29"/>
    </row>
    <row r="5" spans="1:1" ht="63.75" x14ac:dyDescent="0.2">
      <c r="A5" s="29" t="s">
        <v>17</v>
      </c>
    </row>
    <row r="6" spans="1:1" x14ac:dyDescent="0.2">
      <c r="A6" s="29"/>
    </row>
    <row r="7" spans="1:1" ht="76.5" x14ac:dyDescent="0.2">
      <c r="A7" s="29" t="s">
        <v>18</v>
      </c>
    </row>
    <row r="8" spans="1:1" x14ac:dyDescent="0.2">
      <c r="A8" s="29"/>
    </row>
    <row r="9" spans="1:1" ht="114.75" x14ac:dyDescent="0.2">
      <c r="A9" s="29" t="s">
        <v>19</v>
      </c>
    </row>
  </sheetData>
  <phoneticPr fontId="0" type="noConversion"/>
  <pageMargins left="0.75" right="0.75" top="1" bottom="1" header="0" footer="0"/>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10"/>
  <sheetViews>
    <sheetView showGridLines="0" workbookViewId="0"/>
  </sheetViews>
  <sheetFormatPr baseColWidth="10" defaultRowHeight="12.75" x14ac:dyDescent="0.2"/>
  <cols>
    <col min="1" max="1" width="137.140625" customWidth="1"/>
  </cols>
  <sheetData>
    <row r="1" spans="1:1" ht="63.75" x14ac:dyDescent="0.2">
      <c r="A1" s="29" t="s">
        <v>87</v>
      </c>
    </row>
    <row r="3" spans="1:1" ht="38.25" x14ac:dyDescent="0.2">
      <c r="A3" s="29" t="s">
        <v>88</v>
      </c>
    </row>
    <row r="4" spans="1:1" x14ac:dyDescent="0.2">
      <c r="A4" s="29"/>
    </row>
    <row r="5" spans="1:1" ht="76.5" x14ac:dyDescent="0.2">
      <c r="A5" s="29" t="s">
        <v>89</v>
      </c>
    </row>
    <row r="6" spans="1:1" x14ac:dyDescent="0.2">
      <c r="A6" s="29"/>
    </row>
    <row r="7" spans="1:1" ht="76.5" x14ac:dyDescent="0.2">
      <c r="A7" s="29" t="s">
        <v>90</v>
      </c>
    </row>
    <row r="8" spans="1:1" x14ac:dyDescent="0.2">
      <c r="A8" s="29"/>
    </row>
    <row r="9" spans="1:1" ht="114.75" x14ac:dyDescent="0.2">
      <c r="A9" s="29" t="s">
        <v>71</v>
      </c>
    </row>
    <row r="10" spans="1:1" x14ac:dyDescent="0.2">
      <c r="A10" s="29"/>
    </row>
  </sheetData>
  <phoneticPr fontId="0" type="noConversion"/>
  <pageMargins left="0.75" right="0.75" top="1" bottom="1" header="0" footer="0"/>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9"/>
  <sheetViews>
    <sheetView showGridLines="0" workbookViewId="0">
      <selection activeCell="A13" sqref="A13"/>
    </sheetView>
  </sheetViews>
  <sheetFormatPr baseColWidth="10" defaultRowHeight="12.75" x14ac:dyDescent="0.2"/>
  <cols>
    <col min="1" max="1" width="137.28515625" customWidth="1"/>
  </cols>
  <sheetData>
    <row r="1" spans="1:1" ht="38.25" x14ac:dyDescent="0.2">
      <c r="A1" s="29" t="s">
        <v>63</v>
      </c>
    </row>
    <row r="3" spans="1:1" ht="38.25" x14ac:dyDescent="0.2">
      <c r="A3" s="29" t="s">
        <v>64</v>
      </c>
    </row>
    <row r="4" spans="1:1" x14ac:dyDescent="0.2">
      <c r="A4" s="29"/>
    </row>
    <row r="5" spans="1:1" ht="51" x14ac:dyDescent="0.2">
      <c r="A5" s="29" t="s">
        <v>65</v>
      </c>
    </row>
    <row r="6" spans="1:1" x14ac:dyDescent="0.2">
      <c r="A6" s="29"/>
    </row>
    <row r="7" spans="1:1" ht="63.75" x14ac:dyDescent="0.2">
      <c r="A7" s="29" t="s">
        <v>23</v>
      </c>
    </row>
    <row r="8" spans="1:1" x14ac:dyDescent="0.2">
      <c r="A8" s="29"/>
    </row>
    <row r="9" spans="1:1" ht="38.25" x14ac:dyDescent="0.2">
      <c r="A9" s="29" t="s">
        <v>24</v>
      </c>
    </row>
  </sheetData>
  <phoneticPr fontId="0" type="noConversion"/>
  <pageMargins left="0.75" right="0.75" top="1" bottom="1" header="0" footer="0"/>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7"/>
  <sheetViews>
    <sheetView showGridLines="0" workbookViewId="0">
      <selection activeCell="C4" sqref="C4"/>
    </sheetView>
  </sheetViews>
  <sheetFormatPr baseColWidth="10" defaultRowHeight="12.75" x14ac:dyDescent="0.2"/>
  <cols>
    <col min="1" max="1" width="137" customWidth="1"/>
  </cols>
  <sheetData>
    <row r="1" spans="1:1" ht="51" x14ac:dyDescent="0.2">
      <c r="A1" s="29" t="s">
        <v>2</v>
      </c>
    </row>
    <row r="3" spans="1:1" ht="51" x14ac:dyDescent="0.2">
      <c r="A3" s="29" t="s">
        <v>329</v>
      </c>
    </row>
    <row r="4" spans="1:1" x14ac:dyDescent="0.2">
      <c r="A4" s="29"/>
    </row>
    <row r="5" spans="1:1" ht="102" x14ac:dyDescent="0.2">
      <c r="A5" s="29" t="s">
        <v>330</v>
      </c>
    </row>
    <row r="6" spans="1:1" x14ac:dyDescent="0.2">
      <c r="A6" s="29"/>
    </row>
    <row r="7" spans="1:1" ht="102" x14ac:dyDescent="0.2">
      <c r="A7" s="29" t="s">
        <v>331</v>
      </c>
    </row>
  </sheetData>
  <phoneticPr fontId="0" type="noConversion"/>
  <pageMargins left="0.75" right="0.75" top="1" bottom="1" header="0" footer="0"/>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11"/>
  <sheetViews>
    <sheetView showGridLines="0" workbookViewId="0">
      <selection activeCell="A15" sqref="A15"/>
    </sheetView>
  </sheetViews>
  <sheetFormatPr baseColWidth="10" defaultRowHeight="12.75" x14ac:dyDescent="0.2"/>
  <cols>
    <col min="1" max="1" width="137" customWidth="1"/>
  </cols>
  <sheetData>
    <row r="1" spans="1:1" ht="25.5" x14ac:dyDescent="0.2">
      <c r="A1" s="29" t="s">
        <v>332</v>
      </c>
    </row>
    <row r="3" spans="1:1" ht="38.25" x14ac:dyDescent="0.2">
      <c r="A3" s="29" t="s">
        <v>333</v>
      </c>
    </row>
    <row r="4" spans="1:1" x14ac:dyDescent="0.2">
      <c r="A4" s="29"/>
    </row>
    <row r="5" spans="1:1" ht="38.25" x14ac:dyDescent="0.2">
      <c r="A5" s="29" t="s">
        <v>334</v>
      </c>
    </row>
    <row r="6" spans="1:1" x14ac:dyDescent="0.2">
      <c r="A6" s="29"/>
    </row>
    <row r="7" spans="1:1" ht="51" x14ac:dyDescent="0.2">
      <c r="A7" s="29" t="s">
        <v>335</v>
      </c>
    </row>
    <row r="8" spans="1:1" x14ac:dyDescent="0.2">
      <c r="A8" s="29"/>
    </row>
    <row r="9" spans="1:1" ht="51" x14ac:dyDescent="0.2">
      <c r="A9" s="29" t="s">
        <v>336</v>
      </c>
    </row>
    <row r="10" spans="1:1" x14ac:dyDescent="0.2">
      <c r="A10" s="29"/>
    </row>
    <row r="11" spans="1:1" ht="38.25" x14ac:dyDescent="0.2">
      <c r="A11" s="29" t="s">
        <v>337</v>
      </c>
    </row>
  </sheetData>
  <phoneticPr fontId="0" type="noConversion"/>
  <pageMargins left="0.75" right="0.75" top="1" bottom="1" header="0" footer="0"/>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11"/>
  <sheetViews>
    <sheetView showGridLines="0" workbookViewId="0">
      <selection activeCell="A14" sqref="A14"/>
    </sheetView>
  </sheetViews>
  <sheetFormatPr baseColWidth="10" defaultRowHeight="12.75" x14ac:dyDescent="0.2"/>
  <cols>
    <col min="1" max="1" width="137" customWidth="1"/>
  </cols>
  <sheetData>
    <row r="1" spans="1:1" ht="38.25" x14ac:dyDescent="0.2">
      <c r="A1" s="29" t="s">
        <v>25</v>
      </c>
    </row>
    <row r="3" spans="1:1" ht="63.75" x14ac:dyDescent="0.2">
      <c r="A3" s="29" t="s">
        <v>26</v>
      </c>
    </row>
    <row r="4" spans="1:1" x14ac:dyDescent="0.2">
      <c r="A4" s="29"/>
    </row>
    <row r="5" spans="1:1" ht="38.25" x14ac:dyDescent="0.2">
      <c r="A5" s="29" t="s">
        <v>27</v>
      </c>
    </row>
    <row r="6" spans="1:1" x14ac:dyDescent="0.2">
      <c r="A6" s="29"/>
    </row>
    <row r="7" spans="1:1" ht="38.25" x14ac:dyDescent="0.2">
      <c r="A7" s="29" t="s">
        <v>28</v>
      </c>
    </row>
    <row r="8" spans="1:1" x14ac:dyDescent="0.2">
      <c r="A8" s="29"/>
    </row>
    <row r="9" spans="1:1" ht="51" x14ac:dyDescent="0.2">
      <c r="A9" s="29" t="s">
        <v>29</v>
      </c>
    </row>
    <row r="10" spans="1:1" x14ac:dyDescent="0.2">
      <c r="A10" s="29"/>
    </row>
    <row r="11" spans="1:1" ht="25.5" x14ac:dyDescent="0.2">
      <c r="A11" s="29" t="s">
        <v>30</v>
      </c>
    </row>
  </sheetData>
  <phoneticPr fontId="0" type="noConversion"/>
  <pageMargins left="0.75" right="0.75" top="1" bottom="1" header="0" footer="0"/>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9"/>
  <sheetViews>
    <sheetView showGridLines="0" workbookViewId="0">
      <selection activeCell="A7" sqref="A7"/>
    </sheetView>
  </sheetViews>
  <sheetFormatPr baseColWidth="10" defaultRowHeight="12.75" x14ac:dyDescent="0.2"/>
  <cols>
    <col min="1" max="1" width="137" customWidth="1"/>
  </cols>
  <sheetData>
    <row r="1" spans="1:1" ht="25.5" x14ac:dyDescent="0.2">
      <c r="A1" s="29" t="s">
        <v>31</v>
      </c>
    </row>
    <row r="3" spans="1:1" ht="63.75" x14ac:dyDescent="0.2">
      <c r="A3" s="29" t="s">
        <v>32</v>
      </c>
    </row>
    <row r="4" spans="1:1" x14ac:dyDescent="0.2">
      <c r="A4" s="29"/>
    </row>
    <row r="5" spans="1:1" ht="38.25" x14ac:dyDescent="0.2">
      <c r="A5" s="29" t="s">
        <v>33</v>
      </c>
    </row>
    <row r="6" spans="1:1" x14ac:dyDescent="0.2">
      <c r="A6" s="29"/>
    </row>
    <row r="7" spans="1:1" ht="102" x14ac:dyDescent="0.2">
      <c r="A7" s="29" t="s">
        <v>34</v>
      </c>
    </row>
    <row r="8" spans="1:1" x14ac:dyDescent="0.2">
      <c r="A8" s="29"/>
    </row>
    <row r="9" spans="1:1" ht="114.75" x14ac:dyDescent="0.2">
      <c r="A9" s="29" t="s">
        <v>74</v>
      </c>
    </row>
  </sheetData>
  <phoneticPr fontId="0" type="noConversion"/>
  <pageMargins left="0.75" right="0.75" top="1" bottom="1" header="0" footer="0"/>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7"/>
  <sheetViews>
    <sheetView showGridLines="0" workbookViewId="0">
      <selection activeCell="B5" sqref="B5"/>
    </sheetView>
  </sheetViews>
  <sheetFormatPr baseColWidth="10" defaultRowHeight="12.75" x14ac:dyDescent="0.2"/>
  <cols>
    <col min="1" max="1" width="137.140625" customWidth="1"/>
  </cols>
  <sheetData>
    <row r="1" spans="1:1" ht="63.75" x14ac:dyDescent="0.2">
      <c r="A1" s="29" t="s">
        <v>338</v>
      </c>
    </row>
    <row r="3" spans="1:1" ht="38.25" x14ac:dyDescent="0.2">
      <c r="A3" s="29" t="s">
        <v>339</v>
      </c>
    </row>
    <row r="4" spans="1:1" x14ac:dyDescent="0.2">
      <c r="A4" s="29"/>
    </row>
    <row r="5" spans="1:1" ht="89.25" x14ac:dyDescent="0.2">
      <c r="A5" s="29" t="s">
        <v>20</v>
      </c>
    </row>
    <row r="6" spans="1:1" x14ac:dyDescent="0.2">
      <c r="A6" s="29"/>
    </row>
    <row r="7" spans="1:1" ht="102" x14ac:dyDescent="0.2">
      <c r="A7" s="29" t="s">
        <v>21</v>
      </c>
    </row>
  </sheetData>
  <phoneticPr fontId="0" type="noConversion"/>
  <pageMargins left="0.75" right="0.75" top="1" bottom="1" header="0" footer="0"/>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9"/>
  <sheetViews>
    <sheetView showGridLines="0" workbookViewId="0">
      <selection activeCell="A10" sqref="A10"/>
    </sheetView>
  </sheetViews>
  <sheetFormatPr baseColWidth="10" defaultRowHeight="12.75" x14ac:dyDescent="0.2"/>
  <cols>
    <col min="1" max="1" width="137.28515625" customWidth="1"/>
  </cols>
  <sheetData>
    <row r="1" spans="1:1" ht="38.25" x14ac:dyDescent="0.2">
      <c r="A1" s="29" t="s">
        <v>22</v>
      </c>
    </row>
    <row r="3" spans="1:1" ht="89.25" x14ac:dyDescent="0.2">
      <c r="A3" s="29" t="s">
        <v>120</v>
      </c>
    </row>
    <row r="4" spans="1:1" x14ac:dyDescent="0.2">
      <c r="A4" s="29"/>
    </row>
    <row r="5" spans="1:1" ht="38.25" x14ac:dyDescent="0.2">
      <c r="A5" s="29" t="s">
        <v>121</v>
      </c>
    </row>
    <row r="6" spans="1:1" x14ac:dyDescent="0.2">
      <c r="A6" s="29"/>
    </row>
    <row r="7" spans="1:1" ht="63.75" x14ac:dyDescent="0.2">
      <c r="A7" s="29" t="s">
        <v>57</v>
      </c>
    </row>
    <row r="8" spans="1:1" x14ac:dyDescent="0.2">
      <c r="A8" s="29"/>
    </row>
    <row r="9" spans="1:1" ht="63.75" x14ac:dyDescent="0.2">
      <c r="A9" s="29" t="s">
        <v>58</v>
      </c>
    </row>
  </sheetData>
  <phoneticPr fontId="0" type="noConversion"/>
  <pageMargins left="0.75" right="0.75" top="1" bottom="1" header="0" footer="0"/>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9"/>
  <sheetViews>
    <sheetView showGridLines="0" workbookViewId="0">
      <selection activeCell="A11" sqref="A11"/>
    </sheetView>
  </sheetViews>
  <sheetFormatPr baseColWidth="10" defaultRowHeight="12.75" x14ac:dyDescent="0.2"/>
  <cols>
    <col min="1" max="1" width="137.28515625" customWidth="1"/>
  </cols>
  <sheetData>
    <row r="1" spans="1:1" ht="38.25" x14ac:dyDescent="0.2">
      <c r="A1" s="29" t="s">
        <v>75</v>
      </c>
    </row>
    <row r="3" spans="1:1" ht="63.75" x14ac:dyDescent="0.2">
      <c r="A3" s="29" t="s">
        <v>76</v>
      </c>
    </row>
    <row r="4" spans="1:1" x14ac:dyDescent="0.2">
      <c r="A4" s="29"/>
    </row>
    <row r="5" spans="1:1" ht="38.25" x14ac:dyDescent="0.2">
      <c r="A5" s="29" t="s">
        <v>77</v>
      </c>
    </row>
    <row r="6" spans="1:1" x14ac:dyDescent="0.2">
      <c r="A6" s="29"/>
    </row>
    <row r="7" spans="1:1" ht="63.75" x14ac:dyDescent="0.2">
      <c r="A7" s="29" t="s">
        <v>78</v>
      </c>
    </row>
    <row r="8" spans="1:1" x14ac:dyDescent="0.2">
      <c r="A8" s="29"/>
    </row>
    <row r="9" spans="1:1" ht="127.5" x14ac:dyDescent="0.2">
      <c r="A9" s="29" t="s">
        <v>3</v>
      </c>
    </row>
  </sheetData>
  <phoneticPr fontId="0" type="noConversion"/>
  <pageMargins left="0.75" right="0.75" top="1" bottom="1" header="0" footer="0"/>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7"/>
  <sheetViews>
    <sheetView showGridLines="0" workbookViewId="0">
      <selection activeCell="A9" sqref="A9"/>
    </sheetView>
  </sheetViews>
  <sheetFormatPr baseColWidth="10" defaultRowHeight="12.75" x14ac:dyDescent="0.2"/>
  <cols>
    <col min="1" max="1" width="137.28515625" customWidth="1"/>
  </cols>
  <sheetData>
    <row r="1" spans="1:1" ht="114.75" x14ac:dyDescent="0.2">
      <c r="A1" s="29" t="s">
        <v>59</v>
      </c>
    </row>
    <row r="3" spans="1:1" ht="102" x14ac:dyDescent="0.2">
      <c r="A3" s="29" t="s">
        <v>60</v>
      </c>
    </row>
    <row r="4" spans="1:1" x14ac:dyDescent="0.2">
      <c r="A4" s="29"/>
    </row>
    <row r="5" spans="1:1" ht="51" x14ac:dyDescent="0.2">
      <c r="A5" s="29" t="s">
        <v>61</v>
      </c>
    </row>
    <row r="6" spans="1:1" x14ac:dyDescent="0.2">
      <c r="A6" s="29"/>
    </row>
    <row r="7" spans="1:1" ht="63.75" x14ac:dyDescent="0.2">
      <c r="A7" s="29" t="s">
        <v>62</v>
      </c>
    </row>
  </sheetData>
  <phoneticPr fontId="0" type="noConversion"/>
  <pageMargins left="0.75" right="0.75" top="1" bottom="1" header="0" footer="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22</vt:i4>
      </vt:variant>
    </vt:vector>
  </HeadingPairs>
  <TitlesOfParts>
    <vt:vector size="22" baseType="lpstr">
      <vt:lpstr>Instrucciones</vt:lpstr>
      <vt:lpstr>Parte I</vt:lpstr>
      <vt:lpstr>Parte II</vt:lpstr>
      <vt:lpstr>Parte III</vt:lpstr>
      <vt:lpstr>Parte IV</vt:lpstr>
      <vt:lpstr>Resultados</vt:lpstr>
      <vt:lpstr>ISTJ</vt:lpstr>
      <vt:lpstr>ISTP</vt:lpstr>
      <vt:lpstr>ISFJ</vt:lpstr>
      <vt:lpstr>ISFP</vt:lpstr>
      <vt:lpstr>INFJ</vt:lpstr>
      <vt:lpstr>INFP</vt:lpstr>
      <vt:lpstr>INTJ</vt:lpstr>
      <vt:lpstr>INTP</vt:lpstr>
      <vt:lpstr>ESTP</vt:lpstr>
      <vt:lpstr>ESTJ</vt:lpstr>
      <vt:lpstr>ESFP</vt:lpstr>
      <vt:lpstr>ESFJ</vt:lpstr>
      <vt:lpstr>ENFP</vt:lpstr>
      <vt:lpstr>ENFJ</vt:lpstr>
      <vt:lpstr>ENTP</vt:lpstr>
      <vt:lpstr>ENTJ</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Pamela</dc:creator>
  <cp:lastModifiedBy>Tessy Maricela Solórzano Flores</cp:lastModifiedBy>
  <cp:lastPrinted>2006-09-28T15:06:57Z</cp:lastPrinted>
  <dcterms:created xsi:type="dcterms:W3CDTF">2005-05-10T17:58:54Z</dcterms:created>
  <dcterms:modified xsi:type="dcterms:W3CDTF">2025-03-10T15:28:42Z</dcterms:modified>
</cp:coreProperties>
</file>