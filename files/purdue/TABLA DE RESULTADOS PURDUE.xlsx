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0444ea7b017c3a8/Escritorio/"/>
    </mc:Choice>
  </mc:AlternateContent>
  <xr:revisionPtr revIDLastSave="0" documentId="8_{6074E040-7336-4B77-A6A0-82C8F045AE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RDU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2" l="1"/>
  <c r="X18" i="2"/>
  <c r="AA18" i="2" s="1"/>
  <c r="X9" i="2"/>
  <c r="AA9" i="2" s="1"/>
  <c r="AC9" i="2" s="1"/>
  <c r="AA20" i="2" l="1"/>
  <c r="AC20" i="2" s="1"/>
  <c r="AC18" i="2"/>
  <c r="X7" i="2"/>
  <c r="AA7" i="2" s="1"/>
  <c r="AC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TESSY MARICELA SOLORZANO FLORES</author>
  </authors>
  <commentList>
    <comment ref="U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TESSY MARICELA SOLORZANO FLORES:</t>
        </r>
        <r>
          <rPr>
            <sz val="9"/>
            <color indexed="81"/>
            <rFont val="Tahoma"/>
            <family val="2"/>
          </rPr>
          <t xml:space="preserve">
Ingresar edad del alumno/postulante</t>
        </r>
      </text>
    </comment>
    <comment ref="U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TESSY MARICELA SOLORZANO FLORES:</t>
        </r>
        <r>
          <rPr>
            <sz val="9"/>
            <color indexed="81"/>
            <rFont val="Tahoma"/>
            <family val="2"/>
          </rPr>
          <t xml:space="preserve">
Ingresar el puntaje bruto obtenido según sexo</t>
        </r>
      </text>
    </comment>
    <comment ref="U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TESSY MARICELA SOLORZANO FLORES:</t>
        </r>
        <r>
          <rPr>
            <sz val="9"/>
            <color indexed="81"/>
            <rFont val="Tahoma"/>
            <family val="2"/>
          </rPr>
          <t xml:space="preserve">
Ingresar puntaje bruto obtenido, según sexo.</t>
        </r>
      </text>
    </comment>
    <comment ref="U1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TESSY MARICELA SOLORZANO FLORES:</t>
        </r>
        <r>
          <rPr>
            <sz val="9"/>
            <color indexed="81"/>
            <rFont val="Tahoma"/>
            <family val="2"/>
          </rPr>
          <t xml:space="preserve">
Ingresar edad del alumno/postulante</t>
        </r>
      </text>
    </comment>
    <comment ref="U1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TESSY MARICELA SOLORZANO FLORES:</t>
        </r>
        <r>
          <rPr>
            <sz val="9"/>
            <color indexed="81"/>
            <rFont val="Tahoma"/>
            <family val="2"/>
          </rPr>
          <t xml:space="preserve">
Ingresar puntaje bruto obtenido, según sexo.</t>
        </r>
      </text>
    </comment>
    <comment ref="U2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TESSY MARICELA SOLORZANO FLORES:</t>
        </r>
        <r>
          <rPr>
            <sz val="9"/>
            <color indexed="81"/>
            <rFont val="Tahoma"/>
            <family val="2"/>
          </rPr>
          <t xml:space="preserve">
Ingresar puntaje bruto obtenido, según sexo.</t>
        </r>
      </text>
    </comment>
  </commentList>
</comments>
</file>

<file path=xl/sharedStrings.xml><?xml version="1.0" encoding="utf-8"?>
<sst xmlns="http://schemas.openxmlformats.org/spreadsheetml/2006/main" count="59" uniqueCount="34">
  <si>
    <t>PERCENTIL</t>
  </si>
  <si>
    <t>17 AÑOS 6 MESES A 18 AÑOS 6 MESES</t>
  </si>
  <si>
    <t>18 AÑOS 7 MESES A 19 AÑOS 6 MESES</t>
  </si>
  <si>
    <t>20 AÑOS 7 MESES A 21 AÑOS 6 MESES</t>
  </si>
  <si>
    <t>21 AÑOS 7 MESES A 22 AÑOS 6 MESES</t>
  </si>
  <si>
    <t>22 AÑOS 7 MESES A 23 AÑOS 6 MESES</t>
  </si>
  <si>
    <t>23 AÑOS 7 MESES A 24 AÑOS 6 MESES</t>
  </si>
  <si>
    <t>24 AÑOS 7 MESES EN ADELANTE</t>
  </si>
  <si>
    <t>M</t>
  </si>
  <si>
    <t>F</t>
  </si>
  <si>
    <t>N=124</t>
  </si>
  <si>
    <t>CUADRO N°32</t>
  </si>
  <si>
    <t>BAREMOS DEL TEST DE LA UNIVERSIDAD DE PURDUE (FORMA "B" EN LA CIUDAD UNIVERSITARIA DE TEGUCIGALPA EN 1002 M Y 595 F.)</t>
  </si>
  <si>
    <t>Este baremo puede ser utilizado para estudiantes del sexo masculino del CAMPUS UNAH ATLÁTIDA, exceptuando lo que corresponde a la edad de 20 años 7 meses a 21 años 6 meses.</t>
  </si>
  <si>
    <t>EQUIVALENTE (I.Q)</t>
  </si>
  <si>
    <t>CLASIFICACIÓN DE INTELIGENCIA</t>
  </si>
  <si>
    <t>130+</t>
  </si>
  <si>
    <t>120-129</t>
  </si>
  <si>
    <t>110-119</t>
  </si>
  <si>
    <t>90-109</t>
  </si>
  <si>
    <t>80-89</t>
  </si>
  <si>
    <t>70-79</t>
  </si>
  <si>
    <t>MUY SUPERIOR</t>
  </si>
  <si>
    <t>SUPERIOR</t>
  </si>
  <si>
    <t>NORMAL BRILLANTE</t>
  </si>
  <si>
    <t>NORMAL</t>
  </si>
  <si>
    <t>NORMAL THORPE</t>
  </si>
  <si>
    <t>BORDERLINE</t>
  </si>
  <si>
    <t>D.M.</t>
  </si>
  <si>
    <t>AÑOS</t>
  </si>
  <si>
    <t>MASCULINO</t>
  </si>
  <si>
    <t>FEMENINO</t>
  </si>
  <si>
    <t>CI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</si>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</sst>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/>
    <xf numFmtId="0" fontId="0" fillId="0" borderId="10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5" xfId="0" applyBorder="1"/>
    <xf numFmtId="0" fontId="0" fillId="0" borderId="11" xfId="0" applyBorder="1"/>
    <xf numFmtId="0" fontId="0" fillId="0" borderId="7" xfId="0" applyBorder="1"/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466725</xdr:colOff>
      <xdr:row>3</xdr:row>
      <xdr:rowOff>1162050</xdr:rowOff>
    </xdr:from>
    <xdr:to>
      <xdr:col>23</xdr:col>
      <xdr:colOff>723900</xdr:colOff>
      <xdr:row>3</xdr:row>
      <xdr:rowOff>1571625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296525" y="1733550"/>
          <a:ext cx="3419475" cy="40957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HN" sz="1400"/>
            <a:t>Edades</a:t>
          </a:r>
          <a:r>
            <a:rPr lang="es-HN" sz="1400" baseline="0"/>
            <a:t> de 18 a 22 años</a:t>
          </a:r>
          <a:endParaRPr lang="es-HN" sz="1400"/>
        </a:p>
      </xdr:txBody>
    </xdr:sp>
    <xdr:clientData/>
  </xdr:twoCellAnchor>
  <xdr:twoCellAnchor>
    <xdr:from>
      <xdr:col>19</xdr:col>
      <xdr:colOff>342900</xdr:colOff>
      <xdr:row>11</xdr:row>
      <xdr:rowOff>171450</xdr:rowOff>
    </xdr:from>
    <xdr:to>
      <xdr:col>23</xdr:col>
      <xdr:colOff>600075</xdr:colOff>
      <xdr:row>14</xdr:row>
      <xdr:rowOff>9525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172700" y="3790950"/>
          <a:ext cx="3419475" cy="40957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HN" sz="1400"/>
            <a:t>Edades</a:t>
          </a:r>
          <a:r>
            <a:rPr lang="es-HN" sz="1400" baseline="0"/>
            <a:t> de 23 años en adelante</a:t>
          </a:r>
          <a:endParaRPr lang="es-HN" sz="1400"/>
        </a:p>
      </xdr:txBody>
    </xdr:sp>
    <xdr:clientData/>
  </xdr:twoCellAnchor>
  <xdr:twoCellAnchor>
    <xdr:from>
      <xdr:col>21</xdr:col>
      <xdr:colOff>676275</xdr:colOff>
      <xdr:row>4</xdr:row>
      <xdr:rowOff>0</xdr:rowOff>
    </xdr:from>
    <xdr:to>
      <xdr:col>24</xdr:col>
      <xdr:colOff>228600</xdr:colOff>
      <xdr:row>9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2144375" y="2286000"/>
          <a:ext cx="1838325" cy="1114425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HN" sz="1100"/>
        </a:p>
      </xdr:txBody>
    </xdr:sp>
    <xdr:clientData/>
  </xdr:twoCellAnchor>
  <xdr:oneCellAnchor>
    <xdr:from>
      <xdr:col>22</xdr:col>
      <xdr:colOff>0</xdr:colOff>
      <xdr:row>4</xdr:row>
      <xdr:rowOff>47625</xdr:rowOff>
    </xdr:from>
    <xdr:ext cx="1743170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2230100" y="2333625"/>
          <a:ext cx="17431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HN" sz="1100" b="1">
              <a:solidFill>
                <a:srgbClr val="FF0000"/>
              </a:solidFill>
            </a:rPr>
            <a:t>No cambiar datos/formula</a:t>
          </a:r>
        </a:p>
      </xdr:txBody>
    </xdr:sp>
    <xdr:clientData/>
  </xdr:oneCellAnchor>
  <xdr:twoCellAnchor>
    <xdr:from>
      <xdr:col>21</xdr:col>
      <xdr:colOff>666750</xdr:colOff>
      <xdr:row>15</xdr:row>
      <xdr:rowOff>57150</xdr:rowOff>
    </xdr:from>
    <xdr:to>
      <xdr:col>24</xdr:col>
      <xdr:colOff>219075</xdr:colOff>
      <xdr:row>21</xdr:row>
      <xdr:rowOff>28575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2134850" y="4438650"/>
          <a:ext cx="1838325" cy="1114425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HN" sz="1100"/>
        </a:p>
      </xdr:txBody>
    </xdr:sp>
    <xdr:clientData/>
  </xdr:twoCellAnchor>
  <xdr:oneCellAnchor>
    <xdr:from>
      <xdr:col>21</xdr:col>
      <xdr:colOff>723900</xdr:colOff>
      <xdr:row>15</xdr:row>
      <xdr:rowOff>66675</xdr:rowOff>
    </xdr:from>
    <xdr:ext cx="1743170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192000" y="4448175"/>
          <a:ext cx="17431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HN" sz="1100" b="1">
              <a:solidFill>
                <a:srgbClr val="FF0000"/>
              </a:solidFill>
            </a:rPr>
            <a:t>No cambiar datos/formula</a:t>
          </a:r>
        </a:p>
      </xdr:txBody>
    </xdr:sp>
    <xdr:clientData/>
  </xdr:oneCellAnchor>
  <xdr:twoCellAnchor>
    <xdr:from>
      <xdr:col>21</xdr:col>
      <xdr:colOff>76200</xdr:colOff>
      <xdr:row>6</xdr:row>
      <xdr:rowOff>95250</xdr:rowOff>
    </xdr:from>
    <xdr:to>
      <xdr:col>21</xdr:col>
      <xdr:colOff>523875</xdr:colOff>
      <xdr:row>6</xdr:row>
      <xdr:rowOff>95250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10782300" y="2762250"/>
          <a:ext cx="447675" cy="0"/>
        </a:xfrm>
        <a:prstGeom prst="line">
          <a:avLst/>
        </a:prstGeom>
        <a:ln w="2857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8</xdr:row>
      <xdr:rowOff>133350</xdr:rowOff>
    </xdr:from>
    <xdr:to>
      <xdr:col>21</xdr:col>
      <xdr:colOff>542925</xdr:colOff>
      <xdr:row>8</xdr:row>
      <xdr:rowOff>133350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0801350" y="3181350"/>
          <a:ext cx="447675" cy="0"/>
        </a:xfrm>
        <a:prstGeom prst="line">
          <a:avLst/>
        </a:prstGeom>
        <a:ln w="2857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342900</xdr:colOff>
      <xdr:row>6</xdr:row>
      <xdr:rowOff>133350</xdr:rowOff>
    </xdr:from>
    <xdr:to>
      <xdr:col>25</xdr:col>
      <xdr:colOff>66675</xdr:colOff>
      <xdr:row>6</xdr:row>
      <xdr:rowOff>133350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13335000" y="2800350"/>
          <a:ext cx="485775" cy="0"/>
        </a:xfrm>
        <a:prstGeom prst="straightConnector1">
          <a:avLst/>
        </a:prstGeom>
        <a:ln w="38100" cap="flat" cmpd="sng" algn="ctr">
          <a:solidFill>
            <a:schemeClr val="accent5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333375</xdr:colOff>
      <xdr:row>8</xdr:row>
      <xdr:rowOff>142875</xdr:rowOff>
    </xdr:from>
    <xdr:to>
      <xdr:col>25</xdr:col>
      <xdr:colOff>57150</xdr:colOff>
      <xdr:row>8</xdr:row>
      <xdr:rowOff>142875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13325475" y="3190875"/>
          <a:ext cx="485775" cy="0"/>
        </a:xfrm>
        <a:prstGeom prst="straightConnector1">
          <a:avLst/>
        </a:prstGeom>
        <a:ln w="38100" cap="flat" cmpd="sng" algn="ctr">
          <a:solidFill>
            <a:schemeClr val="accent5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133350</xdr:colOff>
      <xdr:row>17</xdr:row>
      <xdr:rowOff>66675</xdr:rowOff>
    </xdr:from>
    <xdr:to>
      <xdr:col>21</xdr:col>
      <xdr:colOff>581025</xdr:colOff>
      <xdr:row>17</xdr:row>
      <xdr:rowOff>66675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10839450" y="4867275"/>
          <a:ext cx="447675" cy="0"/>
        </a:xfrm>
        <a:prstGeom prst="line">
          <a:avLst/>
        </a:prstGeom>
        <a:ln w="2857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152400</xdr:colOff>
      <xdr:row>19</xdr:row>
      <xdr:rowOff>123825</xdr:rowOff>
    </xdr:from>
    <xdr:to>
      <xdr:col>21</xdr:col>
      <xdr:colOff>600075</xdr:colOff>
      <xdr:row>19</xdr:row>
      <xdr:rowOff>123825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0858500" y="5305425"/>
          <a:ext cx="447675" cy="0"/>
        </a:xfrm>
        <a:prstGeom prst="line">
          <a:avLst/>
        </a:prstGeom>
        <a:ln w="2857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400050</xdr:colOff>
      <xdr:row>17</xdr:row>
      <xdr:rowOff>104775</xdr:rowOff>
    </xdr:from>
    <xdr:to>
      <xdr:col>25</xdr:col>
      <xdr:colOff>123825</xdr:colOff>
      <xdr:row>17</xdr:row>
      <xdr:rowOff>104775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13392150" y="4905375"/>
          <a:ext cx="485775" cy="0"/>
        </a:xfrm>
        <a:prstGeom prst="straightConnector1">
          <a:avLst/>
        </a:prstGeom>
        <a:ln w="38100" cap="flat" cmpd="sng" algn="ctr">
          <a:solidFill>
            <a:schemeClr val="accent5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390525</xdr:colOff>
      <xdr:row>19</xdr:row>
      <xdr:rowOff>133350</xdr:rowOff>
    </xdr:from>
    <xdr:to>
      <xdr:col>25</xdr:col>
      <xdr:colOff>114300</xdr:colOff>
      <xdr:row>19</xdr:row>
      <xdr:rowOff>133350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13382625" y="5314950"/>
          <a:ext cx="485775" cy="0"/>
        </a:xfrm>
        <a:prstGeom prst="straightConnector1">
          <a:avLst/>
        </a:prstGeom>
        <a:ln w="38100" cap="flat" cmpd="sng" algn="ctr">
          <a:solidFill>
            <a:schemeClr val="accent5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123825</xdr:colOff>
      <xdr:row>4</xdr:row>
      <xdr:rowOff>9525</xdr:rowOff>
    </xdr:from>
    <xdr:to>
      <xdr:col>28</xdr:col>
      <xdr:colOff>1466850</xdr:colOff>
      <xdr:row>9</xdr:row>
      <xdr:rowOff>171450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3877925" y="2295525"/>
          <a:ext cx="2486025" cy="1143000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es-HN" sz="1100"/>
        </a:p>
      </xdr:txBody>
    </xdr:sp>
    <xdr:clientData/>
  </xdr:twoCellAnchor>
  <xdr:twoCellAnchor>
    <xdr:from>
      <xdr:col>25</xdr:col>
      <xdr:colOff>142875</xdr:colOff>
      <xdr:row>15</xdr:row>
      <xdr:rowOff>19049</xdr:rowOff>
    </xdr:from>
    <xdr:to>
      <xdr:col>28</xdr:col>
      <xdr:colOff>1485900</xdr:colOff>
      <xdr:row>21</xdr:row>
      <xdr:rowOff>47624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3896975" y="4438649"/>
          <a:ext cx="2486025" cy="1209675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es-HN" sz="1100"/>
        </a:p>
      </xdr:txBody>
    </xdr:sp>
    <xdr:clientData/>
  </xdr:twoCellAnchor>
  <xdr:oneCellAnchor>
    <xdr:from>
      <xdr:col>26</xdr:col>
      <xdr:colOff>333375</xdr:colOff>
      <xdr:row>3</xdr:row>
      <xdr:rowOff>1676400</xdr:rowOff>
    </xdr:from>
    <xdr:ext cx="1743170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4268450" y="2247900"/>
          <a:ext cx="17431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HN" sz="1100" b="1">
              <a:solidFill>
                <a:srgbClr val="FF0000"/>
              </a:solidFill>
            </a:rPr>
            <a:t>No cambiar datos/formula</a:t>
          </a:r>
        </a:p>
      </xdr:txBody>
    </xdr:sp>
    <xdr:clientData/>
  </xdr:oneCellAnchor>
  <xdr:oneCellAnchor>
    <xdr:from>
      <xdr:col>26</xdr:col>
      <xdr:colOff>361950</xdr:colOff>
      <xdr:row>14</xdr:row>
      <xdr:rowOff>171450</xdr:rowOff>
    </xdr:from>
    <xdr:ext cx="1743170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4297025" y="4400550"/>
          <a:ext cx="17431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HN" sz="1100" b="1">
              <a:solidFill>
                <a:srgbClr val="FF0000"/>
              </a:solidFill>
            </a:rPr>
            <a:t>No cambiar datos/formula</a:t>
          </a:r>
        </a:p>
      </xdr:txBody>
    </xdr:sp>
    <xdr:clientData/>
  </xdr:oneCellAnchor>
  <xdr:twoCellAnchor>
    <xdr:from>
      <xdr:col>18</xdr:col>
      <xdr:colOff>219074</xdr:colOff>
      <xdr:row>3</xdr:row>
      <xdr:rowOff>285750</xdr:rowOff>
    </xdr:from>
    <xdr:to>
      <xdr:col>29</xdr:col>
      <xdr:colOff>348802</xdr:colOff>
      <xdr:row>24</xdr:row>
      <xdr:rowOff>47625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8523264" y="849201"/>
          <a:ext cx="8527827" cy="5342720"/>
        </a:xfrm>
        <a:prstGeom prst="rect">
          <a:avLst/>
        </a:prstGeom>
        <a:noFill/>
        <a:ln w="57150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s-HN" sz="1100"/>
        </a:p>
      </xdr:txBody>
    </xdr:sp>
    <xdr:clientData/>
  </xdr:twoCellAnchor>
  <xdr:oneCellAnchor>
    <xdr:from>
      <xdr:col>21</xdr:col>
      <xdr:colOff>528712</xdr:colOff>
      <xdr:row>3</xdr:row>
      <xdr:rowOff>375633</xdr:rowOff>
    </xdr:from>
    <xdr:ext cx="3262368" cy="603698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1234275" y="939084"/>
          <a:ext cx="3262368" cy="603698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4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Resultados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3"/>
  <sheetViews>
    <sheetView showGridLines="0" tabSelected="1" zoomScale="71" zoomScaleNormal="71" workbookViewId="0">
      <selection activeCell="U26" sqref="U26"/>
    </sheetView>
  </sheetViews>
  <sheetFormatPr baseColWidth="10" defaultRowHeight="15" x14ac:dyDescent="0.25"/>
  <cols>
    <col min="2" max="2" width="6.42578125" customWidth="1"/>
    <col min="3" max="3" width="6.5703125" customWidth="1"/>
    <col min="4" max="4" width="6" customWidth="1"/>
    <col min="5" max="5" width="6.28515625" customWidth="1"/>
    <col min="6" max="6" width="6.42578125" customWidth="1"/>
    <col min="7" max="7" width="6.28515625" customWidth="1"/>
    <col min="8" max="8" width="6.5703125" customWidth="1"/>
    <col min="9" max="9" width="5.5703125" customWidth="1"/>
    <col min="10" max="10" width="6.7109375" customWidth="1"/>
    <col min="11" max="11" width="6.42578125" customWidth="1"/>
    <col min="12" max="12" width="6" customWidth="1"/>
    <col min="13" max="13" width="6.7109375" customWidth="1"/>
    <col min="14" max="15" width="6.28515625" customWidth="1"/>
    <col min="16" max="16" width="6.42578125" customWidth="1"/>
    <col min="17" max="17" width="6.7109375" customWidth="1"/>
    <col min="20" max="20" width="13.140625" customWidth="1"/>
    <col min="26" max="26" width="2.7109375" customWidth="1"/>
    <col min="28" max="28" width="3" customWidth="1"/>
    <col min="29" max="29" width="27" style="23" customWidth="1"/>
  </cols>
  <sheetData>
    <row r="1" spans="1:29" x14ac:dyDescent="0.25">
      <c r="A1" s="25" t="s">
        <v>11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29" x14ac:dyDescent="0.25">
      <c r="A2" s="32" t="s">
        <v>12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4" spans="1:29" ht="135" customHeight="1" x14ac:dyDescent="0.25">
      <c r="A4" s="35" t="s">
        <v>0</v>
      </c>
      <c r="B4" s="29" t="s">
        <v>1</v>
      </c>
      <c r="C4" s="30"/>
      <c r="D4" s="29" t="s">
        <v>2</v>
      </c>
      <c r="E4" s="30"/>
      <c r="F4" s="29" t="s">
        <v>3</v>
      </c>
      <c r="G4" s="30"/>
      <c r="H4" s="29" t="s">
        <v>4</v>
      </c>
      <c r="I4" s="30"/>
      <c r="J4" s="29" t="s">
        <v>5</v>
      </c>
      <c r="K4" s="30"/>
      <c r="L4" s="29" t="s">
        <v>6</v>
      </c>
      <c r="M4" s="30"/>
      <c r="N4" s="29" t="s">
        <v>7</v>
      </c>
      <c r="O4" s="30"/>
      <c r="P4" s="29" t="s">
        <v>7</v>
      </c>
      <c r="Q4" s="30"/>
      <c r="U4" s="22"/>
    </row>
    <row r="5" spans="1:29" x14ac:dyDescent="0.25">
      <c r="A5" s="36"/>
      <c r="B5" s="27">
        <v>18</v>
      </c>
      <c r="C5" s="28"/>
      <c r="D5" s="27">
        <v>19</v>
      </c>
      <c r="E5" s="28"/>
      <c r="F5" s="27">
        <v>20</v>
      </c>
      <c r="G5" s="28"/>
      <c r="H5" s="27">
        <v>21</v>
      </c>
      <c r="I5" s="28"/>
      <c r="J5" s="27">
        <v>22</v>
      </c>
      <c r="K5" s="28"/>
      <c r="L5" s="27">
        <v>23</v>
      </c>
      <c r="M5" s="28"/>
      <c r="N5" s="27">
        <v>24</v>
      </c>
      <c r="O5" s="28"/>
      <c r="P5" s="27">
        <v>25</v>
      </c>
      <c r="Q5" s="28"/>
      <c r="T5" t="s">
        <v>29</v>
      </c>
      <c r="U5" s="6">
        <v>18</v>
      </c>
    </row>
    <row r="6" spans="1:29" x14ac:dyDescent="0.25">
      <c r="A6" s="36"/>
      <c r="B6" s="1" t="s">
        <v>8</v>
      </c>
      <c r="C6" s="1" t="s">
        <v>9</v>
      </c>
      <c r="D6" s="1" t="s">
        <v>8</v>
      </c>
      <c r="E6" s="1" t="s">
        <v>9</v>
      </c>
      <c r="F6" s="1" t="s">
        <v>8</v>
      </c>
      <c r="G6" s="1" t="s">
        <v>9</v>
      </c>
      <c r="H6" s="1" t="s">
        <v>8</v>
      </c>
      <c r="I6" s="1" t="s">
        <v>9</v>
      </c>
      <c r="J6" s="1" t="s">
        <v>8</v>
      </c>
      <c r="K6" s="1" t="s">
        <v>9</v>
      </c>
      <c r="L6" s="1" t="s">
        <v>8</v>
      </c>
      <c r="M6" s="1" t="s">
        <v>9</v>
      </c>
      <c r="N6" s="1" t="s">
        <v>8</v>
      </c>
      <c r="O6" s="1" t="s">
        <v>9</v>
      </c>
      <c r="P6" s="1" t="s">
        <v>8</v>
      </c>
      <c r="Q6" s="1" t="s">
        <v>9</v>
      </c>
      <c r="AA6" s="2" t="s">
        <v>32</v>
      </c>
      <c r="AB6" s="2"/>
      <c r="AC6" s="2" t="s">
        <v>33</v>
      </c>
    </row>
    <row r="7" spans="1:29" ht="15.75" thickBot="1" x14ac:dyDescent="0.3">
      <c r="A7" s="36"/>
      <c r="B7" s="4" t="s">
        <v>10</v>
      </c>
      <c r="C7" s="7">
        <v>78</v>
      </c>
      <c r="D7" s="4">
        <v>86</v>
      </c>
      <c r="E7" s="7">
        <v>60</v>
      </c>
      <c r="F7" s="4">
        <v>129</v>
      </c>
      <c r="G7" s="7">
        <v>75</v>
      </c>
      <c r="H7" s="4">
        <v>106</v>
      </c>
      <c r="I7" s="7">
        <v>62</v>
      </c>
      <c r="J7" s="4">
        <v>75</v>
      </c>
      <c r="K7" s="7">
        <v>54</v>
      </c>
      <c r="L7" s="4">
        <v>77</v>
      </c>
      <c r="M7" s="7">
        <v>53</v>
      </c>
      <c r="N7" s="4">
        <v>58</v>
      </c>
      <c r="O7" s="7">
        <v>42</v>
      </c>
      <c r="P7" s="4">
        <v>347</v>
      </c>
      <c r="Q7" s="7">
        <v>17</v>
      </c>
      <c r="T7" t="s">
        <v>30</v>
      </c>
      <c r="U7" s="6">
        <v>47</v>
      </c>
      <c r="W7" t="s">
        <v>0</v>
      </c>
      <c r="X7" s="6">
        <f>IF(AND(U5=B5,U7=B8),A8,IF(AND(U5=B5,U7=B9),A9,IF(AND(U5=B5,U7=B10),A10,IF(AND(U5=B5,U7=B11),A11,IF(AND(U5=B5,U7=B12),A12,IF(AND(U5=B5,U7=B13),A13,IF(AND(U5=B5,U7=B14),A14,IF(AND(U5=B5,U7=B15),A15,IF(AND(U5=B5,U7=B16),A16,IF(AND(U5=B5,U7=B17),A17,IF(AND(U5=B5,U7=B18),A18,IF(AND(U5=B5,U7=B19),A19,IF(AND(U5=D5,U7=D8),A8,IF(AND(U5=D5,U7=D9),A9,IF(AND(U5=D5,U7=D10),A10,IF(AND(U5=D5,U7=D11),A11,IF(AND(U5=D5,U7=D12),A12,IF(AND(U5=D5,U7=D13),A13,IF(AND(U5=D5,U7=D14),A14,IF(AND(U5=D5,U7=D15),A15,IF(AND(U5=D5,U7=D16),A16,IF(AND(U5=D5,U7=D17),A17,IF(AND(U5=D5,U7=D18),A18,IF(AND(U5=D5,U7=D19),A19,IF(AND(U5=F5,U7=F8),A8,IF(AND(U5=F5,U7=F9),A9,IF(AND(U5=F5,U7=F10),A10,IF(AND(U5=F5,U7=F11),A11,IF(AND(U5=F5,U7=F12),A12,IF(AND(U5=F5,U7=F13),A13,IF(AND(U5=F5,U7=F14),A14,IF(AND(U5=F5,U7=F15),A15,IF(AND(U5=F5,U7=F16),A16,IF(AND(U5=F5,U7=F17),A17,IF(AND(U5=F5,U7=F18),A18,IF(AND(U5=F5,U7=F19),A19,IF(AND(U5=H5,U7=H8),A8,IF(AND(U5=H5,U7=H9),A9,IF(AND(U5=H5,U7=H10),A10,IF(AND(U5=H5,U7=H11),A11,IF(AND(U5=H5,U7=H12),A12,IF(AND(U5=H5,U7=H13),A13,IF(AND(U5=H5,U7=H14),A14,IF(AND(U5=H5,U7=H15),A15,IF(AND(U5=H5,U7=H16),A16,IF(AND(U5=H5,U7=H17),A17,IF(AND(U5=H5,U7=H18),A18,IF(AND(U5=H5,U7=H19),A19,IF(AND(U5=J5,U7=J8),A8,IF(AND(U5=J5,U7=J9),A9,IF(AND(U5=J5,U7=J10),A10,IF(AND(U5=J5,U7=J11),A11,IF(AND(U5=J5,U7=J12),A12,IF(AND(U5=J5,U7=J13),A13,IF(AND(U5=J5,U7=J14),A14,IF(AND(U5=J5,U7=J15),A15,IF(AND(U5=J5,U7=J16),A16,IF(AND(U5=J5,U7=J17),A17,IF(AND(U5=J5,U7=J18),A18,IF(AND(U5=J5,U7=J18),A18,IF(AND(U5=J5,U7=J19),A19)))))))))))))))))))))))))))))))))))))))))))))))))))))))))))))</f>
        <v>99</v>
      </c>
      <c r="AA7" s="24">
        <f>IF(X7=$A$43,$B$43,IF(X7=$A$42,$B$42,IF(X7=$A$41,$B$41,IF(X7&lt;=$A$40,$B$40,IF(X7&lt;=$A$39,$B$39,IF(X7&lt;=$A$38,$B$38,IF(X7&lt;=$A$37,$B$37,IF(X7&lt;=$A$36,$B$36,IF(X7&lt;=$A$35,$B$35,IF(X7&lt;=$A$34,$B$34,IF(X7&lt;=$A$33,$B$33,IF(X7&lt;=$A$32,$B$32,IF(X7&lt;=$A$31,$B$31,IF(X7&lt;=$A$30,$B$30,IF(X7&lt;=$A$29,$B$29,IF(X7&lt;=$A$28,$B$28,IF(X7&lt;=$A$27,$B$27,"0")))))))))))))))))</f>
        <v>135</v>
      </c>
      <c r="AC7" s="23" t="str">
        <f>IF(AA7&lt;=60,"D.M",IF(AA7&lt;=79,"BORDERLINE",IF(AA7&lt;=89,"NORMAL THORPE",IF(AA7&lt;=109,"NORMAL",IF(AA7&lt;=119,"NORMAL BRILLANTE",IF(AA7&lt;=129,"SUPERIOR","MUY SUPERIOR"))))))</f>
        <v>MUY SUPERIOR</v>
      </c>
    </row>
    <row r="8" spans="1:29" ht="15.75" thickTop="1" x14ac:dyDescent="0.25">
      <c r="A8" s="4">
        <v>99</v>
      </c>
      <c r="B8" s="4">
        <v>47</v>
      </c>
      <c r="C8" s="7">
        <v>47</v>
      </c>
      <c r="D8" s="4">
        <v>47</v>
      </c>
      <c r="E8" s="7">
        <v>47</v>
      </c>
      <c r="F8" s="4">
        <v>48</v>
      </c>
      <c r="G8" s="7">
        <v>46</v>
      </c>
      <c r="H8" s="4">
        <v>47</v>
      </c>
      <c r="I8" s="7">
        <v>47</v>
      </c>
      <c r="J8" s="4">
        <v>46</v>
      </c>
      <c r="K8" s="7">
        <v>47</v>
      </c>
      <c r="L8" s="4">
        <v>47</v>
      </c>
      <c r="M8" s="7">
        <v>46</v>
      </c>
      <c r="N8" s="4">
        <v>47</v>
      </c>
      <c r="O8" s="7">
        <v>46</v>
      </c>
      <c r="P8" s="4">
        <v>46</v>
      </c>
      <c r="Q8" s="7">
        <v>46</v>
      </c>
      <c r="AA8" s="3"/>
    </row>
    <row r="9" spans="1:29" ht="15.75" thickBot="1" x14ac:dyDescent="0.3">
      <c r="A9" s="10">
        <v>95</v>
      </c>
      <c r="B9" s="10">
        <v>46</v>
      </c>
      <c r="C9" s="17">
        <v>46</v>
      </c>
      <c r="D9" s="10">
        <v>46</v>
      </c>
      <c r="E9" s="17">
        <v>45</v>
      </c>
      <c r="F9" s="10">
        <v>46</v>
      </c>
      <c r="G9" s="17">
        <v>43</v>
      </c>
      <c r="H9" s="10">
        <v>46</v>
      </c>
      <c r="I9" s="17">
        <v>44</v>
      </c>
      <c r="J9" s="10">
        <v>43</v>
      </c>
      <c r="K9" s="17">
        <v>43</v>
      </c>
      <c r="L9" s="10">
        <v>44</v>
      </c>
      <c r="M9" s="17">
        <v>41</v>
      </c>
      <c r="N9" s="10">
        <v>45</v>
      </c>
      <c r="O9" s="17">
        <v>44</v>
      </c>
      <c r="P9" s="10">
        <v>42</v>
      </c>
      <c r="Q9" s="17">
        <v>40</v>
      </c>
      <c r="T9" t="s">
        <v>31</v>
      </c>
      <c r="U9" s="6">
        <v>47</v>
      </c>
      <c r="W9" t="s">
        <v>0</v>
      </c>
      <c r="X9" s="6">
        <f>IF(AND(U5=B5,U9=C8),A8,IF(AND(U5=B5,U9=C9),A9,IF(AND(U5=B5,U9=C10),A10,IF(AND(U5=B5,U9=C11),A11,IF(AND(U5=B5,U9=C12),A12,IF(AND(U5=B5,U9=C13),A13,IF(AND(U5=B5,U9=C14),A14,IF(AND(U5=B5,U9=C15),A15,IF(AND(U5=B5,U9=C16),A16,IF(AND(U5=B5,U9=C17),A17,IF(AND(U5=B5,U9=C18),A18,IF(AND(U5=B5,U9=C19),A19,IF(AND(U5=D5,U9=E8),A8,IF(AND(U5=D5,U9=E9),A9,IF(AND(U5=D5,U9=E10),A10,IF(AND(U5=D5,U9=E11),A11,IF(AND(U5=D5,U9=E12),A12,IF(AND(U5=D5,U9=E13),A13,IF(AND(U5=D5,U9=E14),A14,IF(AND(U5=D5,U9=E15),A15,IF(AND(U5=D5,U9=E16),A16,IF(AND(U5=D5,U9=E17),A17,IF(AND(U5=D5,U9=E18),A18,IF(AND(U5=D5,U9=E19),A19,IF(AND(U5=F5,U9=G8),A8,IF(AND(U5=F5,U9=G9),A9,IF(AND(U5=F5,U9=G10),A10,IF(AND(U5=F5,U9=G11),A11,IF(AND(U5=F5,U9=G12),A12,IF(AND(U5=F5,U9=G13),A13,IF(AND(U5=F5,U9=G14),A14,IF(AND(U5=F5,U9=G15),A15,IF(AND(U5=F5,U9=G16),A16,IF(AND(U5=F5,U9=G17),A17,IF(AND(U5=F5,U9=G18),A18,IF(AND(U5=F5,U9=G19),A19,IF(AND(U5=H5,U9=I8),A8,IF(AND(U5=H5,U9=I9),A9,IF(AND(U5=H5,U9=I10),A10,IF(AND(U5=H5,U9=I11),A11,IF(AND(U5=H5,U9=I12),A12,IF(AND(U5=H5,U9=I13),A13,IF(AND(U5=H5,U9=I14),A14,IF(AND(U5=H5,U9=I15),A15,IF(AND(U5=H5,U9=I16),A16,IF(AND(U5=H5,U9=I17),A17,IF(AND(U5=H5,U9=I18),A18,IF(AND(U5=H5,U9=I19),A19,IF(AND(U5=J5,U9=K8),A8,IF(AND(U5=J5,U9=K9),A9,IF(AND(U5=J5,U9=K10),A10,IF(AND(U5=J5,U9=K11),A11,IF(AND(U5=J5,U9=K12),A12,IF(AND(U5=J5,U9=K13),A13,IF(AND(U5=J5,U9=K14),A14,IF(AND(U5=J5,U9=K15),A15,IF(AND(U5=J5,U9=K16),A16,IF(AND(U5=J5,U9=K17),A17,IF(AND(U5=J5,U9=K18),A18,IF(AND(U5=J5,U9=K18),A18,IF(AND(U5=J5,U9=K19),A19)))))))))))))))))))))))))))))))))))))))))))))))))))))))))))))</f>
        <v>99</v>
      </c>
      <c r="AA9" s="24">
        <f>IF(X9=$A$43,$B$43,IF(X9=$A$42,$B$42,IF(X9=$A$41,$B$41,IF(X9&lt;=$A$40,$B$40,IF(X9&lt;=$A$39,$B$39,IF(X9&lt;=$A$38,$B$38,IF(X9&lt;=$A$37,$B$37,IF(X9&lt;=$A$36,$B$36,IF(X9&lt;=$A$35,$B$35,IF(X9&lt;=$A$34,$B$34,IF(X9&lt;=$A$33,$B$33,IF(X9&lt;=$A$32,$B$32,IF(X9&lt;=$A$31,$B$31,IF(X9&lt;=$A$30,$B$30,IF(X9&lt;=$A$29,$B$29,IF(X9&lt;=$A$28,$B$28,IF(X9&lt;=$A$27,$B$27,"0")))))))))))))))))</f>
        <v>135</v>
      </c>
      <c r="AC9" s="23" t="str">
        <f>IF(AA9&lt;=60,"D.M",IF(AA9&lt;=79,"BORDERLINE",IF(AA9&lt;=89,"NORMAL THORPE",IF(AA9&lt;=109,"NORMAL",IF(AA9&lt;=119,"NORMAL BRILLANTE",IF(AA9&lt;=129,"SUPERIOR","MUY SUPERIOR"))))))</f>
        <v>MUY SUPERIOR</v>
      </c>
    </row>
    <row r="10" spans="1:29" ht="15.75" thickTop="1" x14ac:dyDescent="0.25">
      <c r="A10" s="10">
        <v>90</v>
      </c>
      <c r="B10" s="10">
        <v>44</v>
      </c>
      <c r="C10" s="17">
        <v>44</v>
      </c>
      <c r="D10" s="10">
        <v>44</v>
      </c>
      <c r="E10" s="17">
        <v>42</v>
      </c>
      <c r="F10" s="10">
        <v>44</v>
      </c>
      <c r="G10" s="17">
        <v>41</v>
      </c>
      <c r="H10" s="10">
        <v>44</v>
      </c>
      <c r="I10" s="17">
        <v>41</v>
      </c>
      <c r="J10" s="10">
        <v>41</v>
      </c>
      <c r="K10" s="17">
        <v>41</v>
      </c>
      <c r="L10" s="10">
        <v>42</v>
      </c>
      <c r="M10" s="17">
        <v>39</v>
      </c>
      <c r="N10" s="10">
        <v>40</v>
      </c>
      <c r="O10" s="17">
        <v>43</v>
      </c>
      <c r="P10" s="10">
        <v>40</v>
      </c>
      <c r="Q10" s="17">
        <v>37</v>
      </c>
    </row>
    <row r="11" spans="1:29" x14ac:dyDescent="0.25">
      <c r="A11" s="10">
        <v>80</v>
      </c>
      <c r="B11" s="10">
        <v>43</v>
      </c>
      <c r="C11" s="17">
        <v>40</v>
      </c>
      <c r="D11" s="10">
        <v>42</v>
      </c>
      <c r="E11" s="17">
        <v>40</v>
      </c>
      <c r="F11" s="10">
        <v>42</v>
      </c>
      <c r="G11" s="17">
        <v>39</v>
      </c>
      <c r="H11" s="10">
        <v>41</v>
      </c>
      <c r="I11" s="17">
        <v>38</v>
      </c>
      <c r="J11" s="10">
        <v>39</v>
      </c>
      <c r="K11" s="17">
        <v>37</v>
      </c>
      <c r="L11" s="10">
        <v>39</v>
      </c>
      <c r="M11" s="17">
        <v>37</v>
      </c>
      <c r="N11" s="10">
        <v>39</v>
      </c>
      <c r="O11" s="17">
        <v>40</v>
      </c>
      <c r="P11" s="10">
        <v>36</v>
      </c>
      <c r="Q11" s="17">
        <v>34</v>
      </c>
    </row>
    <row r="12" spans="1:29" x14ac:dyDescent="0.25">
      <c r="A12" s="10">
        <v>70</v>
      </c>
      <c r="B12" s="10">
        <v>41</v>
      </c>
      <c r="C12" s="17">
        <v>38</v>
      </c>
      <c r="D12" s="10">
        <v>40</v>
      </c>
      <c r="E12" s="17">
        <v>38</v>
      </c>
      <c r="F12" s="10">
        <v>40</v>
      </c>
      <c r="G12" s="17">
        <v>37</v>
      </c>
      <c r="H12" s="10">
        <v>38</v>
      </c>
      <c r="I12" s="17">
        <v>36</v>
      </c>
      <c r="J12" s="10">
        <v>37</v>
      </c>
      <c r="K12" s="17">
        <v>34</v>
      </c>
      <c r="L12" s="10">
        <v>36</v>
      </c>
      <c r="M12" s="17">
        <v>35</v>
      </c>
      <c r="N12" s="10">
        <v>37</v>
      </c>
      <c r="O12" s="17">
        <v>39</v>
      </c>
      <c r="P12" s="10">
        <v>34</v>
      </c>
      <c r="Q12" s="17">
        <v>32</v>
      </c>
    </row>
    <row r="13" spans="1:29" x14ac:dyDescent="0.25">
      <c r="A13" s="10">
        <v>60</v>
      </c>
      <c r="B13" s="10">
        <v>40</v>
      </c>
      <c r="C13" s="17">
        <v>37</v>
      </c>
      <c r="D13" s="10">
        <v>39</v>
      </c>
      <c r="E13" s="17">
        <v>36</v>
      </c>
      <c r="F13" s="10">
        <v>38</v>
      </c>
      <c r="G13" s="17">
        <v>36</v>
      </c>
      <c r="H13" s="10">
        <v>37</v>
      </c>
      <c r="I13" s="17">
        <v>32</v>
      </c>
      <c r="J13" s="10">
        <v>36</v>
      </c>
      <c r="K13" s="17">
        <v>32</v>
      </c>
      <c r="L13" s="10">
        <v>34</v>
      </c>
      <c r="M13" s="17">
        <v>33</v>
      </c>
      <c r="N13" s="10">
        <v>35</v>
      </c>
      <c r="O13" s="17">
        <v>37</v>
      </c>
      <c r="P13" s="10">
        <v>32</v>
      </c>
      <c r="Q13" s="17">
        <v>30</v>
      </c>
    </row>
    <row r="14" spans="1:29" x14ac:dyDescent="0.25">
      <c r="A14" s="10">
        <v>50</v>
      </c>
      <c r="B14" s="10">
        <v>38</v>
      </c>
      <c r="C14" s="17">
        <v>36</v>
      </c>
      <c r="D14" s="10">
        <v>37</v>
      </c>
      <c r="E14" s="17">
        <v>34</v>
      </c>
      <c r="F14" s="10">
        <v>36</v>
      </c>
      <c r="G14" s="17">
        <v>34</v>
      </c>
      <c r="H14" s="10">
        <v>35</v>
      </c>
      <c r="I14" s="17">
        <v>30</v>
      </c>
      <c r="J14" s="10">
        <v>34</v>
      </c>
      <c r="K14" s="17">
        <v>30</v>
      </c>
      <c r="L14" s="10">
        <v>33</v>
      </c>
      <c r="M14" s="17">
        <v>32</v>
      </c>
      <c r="N14" s="10">
        <v>34</v>
      </c>
      <c r="O14" s="17">
        <v>36</v>
      </c>
      <c r="P14" s="10">
        <v>31</v>
      </c>
      <c r="Q14" s="17">
        <v>29</v>
      </c>
    </row>
    <row r="15" spans="1:29" x14ac:dyDescent="0.25">
      <c r="A15" s="10">
        <v>40</v>
      </c>
      <c r="B15" s="10">
        <v>36</v>
      </c>
      <c r="C15" s="17">
        <v>34</v>
      </c>
      <c r="D15" s="10">
        <v>35</v>
      </c>
      <c r="E15" s="17">
        <v>32</v>
      </c>
      <c r="F15" s="10">
        <v>34</v>
      </c>
      <c r="G15" s="17">
        <v>32</v>
      </c>
      <c r="H15" s="10">
        <v>32</v>
      </c>
      <c r="I15" s="17">
        <v>29</v>
      </c>
      <c r="J15" s="10">
        <v>32</v>
      </c>
      <c r="K15" s="17">
        <v>29</v>
      </c>
      <c r="L15" s="10">
        <v>31</v>
      </c>
      <c r="M15" s="17">
        <v>28</v>
      </c>
      <c r="N15" s="10">
        <v>31</v>
      </c>
      <c r="O15" s="17">
        <v>33</v>
      </c>
      <c r="P15" s="10">
        <v>29</v>
      </c>
      <c r="Q15" s="17">
        <v>27</v>
      </c>
      <c r="AA15" s="2"/>
      <c r="AB15" s="2"/>
      <c r="AC15" s="2"/>
    </row>
    <row r="16" spans="1:29" x14ac:dyDescent="0.25">
      <c r="A16" s="10">
        <v>30</v>
      </c>
      <c r="B16" s="10">
        <v>34</v>
      </c>
      <c r="C16" s="17">
        <v>32</v>
      </c>
      <c r="D16" s="10">
        <v>33</v>
      </c>
      <c r="E16" s="17">
        <v>30</v>
      </c>
      <c r="F16" s="10">
        <v>32</v>
      </c>
      <c r="G16" s="17">
        <v>30</v>
      </c>
      <c r="H16" s="10">
        <v>30</v>
      </c>
      <c r="I16" s="17">
        <v>27</v>
      </c>
      <c r="J16" s="10">
        <v>31</v>
      </c>
      <c r="K16" s="17">
        <v>27</v>
      </c>
      <c r="L16" s="10">
        <v>30</v>
      </c>
      <c r="M16" s="17">
        <v>26</v>
      </c>
      <c r="N16" s="10">
        <v>28</v>
      </c>
      <c r="O16" s="17">
        <v>32</v>
      </c>
      <c r="P16" s="10">
        <v>27</v>
      </c>
      <c r="Q16" s="17">
        <v>25</v>
      </c>
      <c r="T16" t="s">
        <v>29</v>
      </c>
      <c r="U16" s="6">
        <v>23</v>
      </c>
    </row>
    <row r="17" spans="1:29" x14ac:dyDescent="0.25">
      <c r="A17" s="10">
        <v>20</v>
      </c>
      <c r="B17" s="10">
        <v>33</v>
      </c>
      <c r="C17" s="17">
        <v>30</v>
      </c>
      <c r="D17" s="10">
        <v>31</v>
      </c>
      <c r="E17" s="17">
        <v>28</v>
      </c>
      <c r="F17" s="10">
        <v>38</v>
      </c>
      <c r="G17" s="17">
        <v>28</v>
      </c>
      <c r="H17" s="10">
        <v>28</v>
      </c>
      <c r="I17" s="17">
        <v>26</v>
      </c>
      <c r="J17" s="10">
        <v>20</v>
      </c>
      <c r="K17" s="17">
        <v>25</v>
      </c>
      <c r="L17" s="10">
        <v>27</v>
      </c>
      <c r="M17" s="17">
        <v>24</v>
      </c>
      <c r="N17" s="10">
        <v>21</v>
      </c>
      <c r="O17" s="17">
        <v>27</v>
      </c>
      <c r="P17" s="10">
        <v>25</v>
      </c>
      <c r="Q17" s="17">
        <v>23</v>
      </c>
      <c r="AA17" s="2" t="s">
        <v>32</v>
      </c>
      <c r="AB17" s="2"/>
      <c r="AC17" s="2" t="s">
        <v>33</v>
      </c>
    </row>
    <row r="18" spans="1:29" ht="15.75" thickBot="1" x14ac:dyDescent="0.3">
      <c r="A18" s="10">
        <v>10</v>
      </c>
      <c r="B18" s="10">
        <v>30</v>
      </c>
      <c r="C18" s="17">
        <v>28</v>
      </c>
      <c r="D18" s="10">
        <v>28</v>
      </c>
      <c r="E18" s="17">
        <v>25</v>
      </c>
      <c r="F18" s="10">
        <v>27</v>
      </c>
      <c r="G18" s="17">
        <v>25</v>
      </c>
      <c r="H18" s="10">
        <v>26</v>
      </c>
      <c r="I18" s="17">
        <v>24</v>
      </c>
      <c r="J18" s="10">
        <v>26</v>
      </c>
      <c r="K18" s="17">
        <v>23</v>
      </c>
      <c r="L18" s="10">
        <v>25</v>
      </c>
      <c r="M18" s="17">
        <v>20</v>
      </c>
      <c r="N18" s="10">
        <v>21</v>
      </c>
      <c r="O18" s="17">
        <v>24</v>
      </c>
      <c r="P18" s="10">
        <v>22</v>
      </c>
      <c r="Q18" s="17">
        <v>20</v>
      </c>
      <c r="T18" t="s">
        <v>30</v>
      </c>
      <c r="U18" s="6">
        <v>47</v>
      </c>
      <c r="W18" t="s">
        <v>0</v>
      </c>
      <c r="X18" s="6">
        <f>IF(AND(U16=L5,U18=L8),A8,IF(AND(U16=L5,U18=L9),A9,IF(AND(U16=L5,U18=L10),A10,IF(AND(U16=L5,U18=L11),A11,IF(AND(U16=L5,U18=L12),A12,IF(AND(U16=L5,U18=L13),A13,IF(AND(U16=L5,U18=L14),A14,IF(AND(U16=L5,U18=L15),A15,IF(AND(U16=L5,U18=L16),A16,IF(AND(U16=L5,U18=L17),A17,IF(AND(U16=L5,U18=L18),A18,IF(AND(U16=L5,U18=L19),A19,IF(AND(U16=N5,U18=N8),A8,IF(AND(U16=N5,U18=N9),A9,IF(AND(U16=N5,U18=N10),A10,IF(AND(U16=N5,U18=N11),A11,IF(AND(U16=N5,U18=N12),A12,IF(AND(U16=N5,U18=N13),A13,IF(AND(U16=N5,U18=N14),A14,IF(AND(U16=N5,U18=N15),A15,IF(AND(U16=N5,U18=N16),A16,IF(AND(U16=N5,U18=N17),A17,IF(AND(U16=N5,U18=N18),A18,IF(AND(U16=N5,U18=N19),A19,IF(AND(U16&gt;=P5,U18=P8),A8,IF(AND(U16&gt;=P5,U18=P9),A9,IF(AND(U16&gt;=P5,U18=P10),A10,IF(AND(U16&gt;=P5,U18=P11),A11,IF(AND(U16&gt;=P5,U18=P12),A12,IF(AND(U16&gt;=P5,U18=P13),A13,IF(AND(U16&gt;=P5,U18=P14),A14,IF(AND(U16&gt;=P5,U18=P15),A15,IF(AND(U16&gt;=P5,U18=P16),A16,IF(AND(U16&gt;=P5,U18=P17),A17,IF(AND(U16&gt;=P5,U18=P18),A18,IF(AND(U16&gt;=P5,U18=P19),A19))))))))))))))))))))))))))))))))))))</f>
        <v>99</v>
      </c>
      <c r="AA18" s="24">
        <f>IF(X18=$A$43,$B$43,IF(X18=$A$42,$B$42,IF(X18=$A$41,$B$41,IF(X18&lt;=$A$40,$B$40,IF(X18&lt;=$A$39,$B$39,IF(X18&lt;=$A$38,$B$38,IF(X18&lt;=$A$37,$B$37,IF(X18&lt;=$A$36,$B$36,IF(X18&lt;=$A$35,$B$35,IF(X18&lt;=$A$34,$B$34,IF(X18&lt;=$A$33,$B$33,IF(X18&lt;=$A$32,$B$32,IF(X18&lt;=$A$31,$B$31,IF(X18&lt;=$A$30,$B$30,IF(X18&lt;=$A$29,$B$29,IF(X18&lt;=$A$28,$B$28,IF(X18&lt;=$A$27,$B$27,"0")))))))))))))))))</f>
        <v>135</v>
      </c>
      <c r="AC18" s="23" t="str">
        <f>IF(AA18&lt;=60,"D.M",IF(AA18&lt;=79,"BORDERLINE",IF(AA18&lt;=89,"NORMAL THORPE",IF(AA18&lt;=109,"NORMAL",IF(AA18&lt;=119,"NORMAL BRILLANTE",IF(AA18&lt;=129,"SUPERIOR","MUY SUPERIOR"))))))</f>
        <v>MUY SUPERIOR</v>
      </c>
    </row>
    <row r="19" spans="1:29" ht="15.75" thickTop="1" x14ac:dyDescent="0.25">
      <c r="A19" s="5">
        <v>5</v>
      </c>
      <c r="B19" s="5">
        <v>26</v>
      </c>
      <c r="C19" s="18">
        <v>26</v>
      </c>
      <c r="D19" s="5">
        <v>25</v>
      </c>
      <c r="E19" s="18">
        <v>24</v>
      </c>
      <c r="F19" s="5">
        <v>25</v>
      </c>
      <c r="G19" s="18">
        <v>21</v>
      </c>
      <c r="H19" s="5">
        <v>24</v>
      </c>
      <c r="I19" s="18">
        <v>22</v>
      </c>
      <c r="J19" s="5">
        <v>24</v>
      </c>
      <c r="K19" s="18">
        <v>22</v>
      </c>
      <c r="L19" s="5">
        <v>24</v>
      </c>
      <c r="M19" s="18">
        <v>18</v>
      </c>
      <c r="N19" s="5">
        <v>20</v>
      </c>
      <c r="O19" s="18">
        <v>22</v>
      </c>
      <c r="P19" s="5">
        <v>19</v>
      </c>
      <c r="Q19" s="18">
        <v>17</v>
      </c>
      <c r="AA19" s="3"/>
    </row>
    <row r="20" spans="1:29" ht="15.75" thickBot="1" x14ac:dyDescent="0.3">
      <c r="T20" t="s">
        <v>31</v>
      </c>
      <c r="U20" s="6">
        <v>46</v>
      </c>
      <c r="W20" t="s">
        <v>0</v>
      </c>
      <c r="X20" s="6">
        <f>IF(AND(U16=L5,U20=M8),A8,IF(AND(U16=L5,U20=M9),A9,IF(AND(U16=L5,U20=M10),A10,IF(AND(U16=L5,U20=M11),A11,IF(AND(U16=L5,U20=M12),A12,IF(AND(U16=L5,U20=M13),A13,IF(AND(U16=L5,U20=M14),A14,IF(AND(U16=L5,U20=M15),A15,IF(AND(U16=L5,U20=M16),A16,IF(AND(U16=L5,U20=M17),A17,IF(AND(U16=L5,U20=M18),A18,IF(AND(U16=L5,U20=M19),A19,IF(AND(U16=N5,U20=O8),A8,IF(AND(U16=N5,U20=O9),A9,IF(AND(U16=N5,U20=O10),A10,IF(AND(U16=N5,U20=O11),A11,IF(AND(U16=N5,U20=O12),A12,IF(AND(U16=N5,U20=O13),A13,IF(AND(U16=N5,U20=O14),A14,IF(AND(U16=N5,U20=O15),A15,IF(AND(U16=N5,U20=O16),A16,IF(AND(U16=N5,U20=O17),A17,IF(AND(U16=N5,U20=O18),A18,IF(AND(U16=N5,U20=O19),A19,IF(AND(U16&gt;=P5,U20=Q8),A8,IF(AND(U16&gt;=P5,U20=Q9),A9,IF(AND(U16&gt;=P5,U20=Q10),A10,IF(AND(U16&gt;=P5,U20=Q11),A11,IF(AND(U16&gt;=P5,U20=Q12),A12,IF(AND(U16&gt;=P5,U20=Q13),A13,IF(AND(U16&gt;=P5,U20=Q14),A14,IF(AND(U16&gt;=P5,U20=Q15),A15,IF(AND(U16&gt;=P5,U20=Q16),A16,IF(AND(U16&gt;=P5,U20=Q17),A17,IF(AND(U16&gt;=P5,U20=Q18),A18,IF(AND(U16&gt;=P5,U20=Q19),A19))))))))))))))))))))))))))))))))))))</f>
        <v>99</v>
      </c>
      <c r="AA20" s="24">
        <f>IF(X20=$A$43,$B$43,IF(X20=$A$42,$B$42,IF(X20=$A$41,$B$41,IF(X20&lt;=$A$40,$B$40,IF(X20&lt;=$A$39,$B$39,IF(X20&lt;=$A$38,$B$38,IF(X20&lt;=$A$37,$B$37,IF(X20&lt;=$A$36,$B$36,IF(X20&lt;=$A$35,$B$35,IF(X20&lt;=$A$34,$B$34,IF(X20&lt;=$A$33,$B$33,IF(X20&lt;=$A$32,$B$32,IF(X20&lt;=$A$31,$B$31,IF(X20&lt;=$A$30,$B$30,IF(X20&lt;=$A$29,$B$29,IF(X20&lt;=$A$28,$B$28,IF(X20&lt;=$A$27,$B$27,"0")))))))))))))))))</f>
        <v>135</v>
      </c>
      <c r="AC20" s="23" t="str">
        <f>IF(AA20&lt;=60,"D.M",IF(AA20&lt;=79,"BORDERLINE",IF(AA20&lt;=89,"NORMAL THORPE",IF(AA20&lt;=109,"NORMAL",IF(AA20&lt;=119,"NORMAL BRILLANTE",IF(AA20&lt;=129,"SUPERIOR","MUY SUPERIOR"))))))</f>
        <v>MUY SUPERIOR</v>
      </c>
    </row>
    <row r="21" spans="1:29" ht="15.75" thickTop="1" x14ac:dyDescent="0.25">
      <c r="A21" s="26" t="s">
        <v>13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1:29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6" spans="1:29" ht="60" customHeight="1" x14ac:dyDescent="0.25">
      <c r="A26" s="21" t="s">
        <v>0</v>
      </c>
      <c r="B26" s="33" t="s">
        <v>14</v>
      </c>
      <c r="C26" s="34"/>
    </row>
    <row r="27" spans="1:29" x14ac:dyDescent="0.25">
      <c r="A27" s="19">
        <v>99</v>
      </c>
      <c r="B27" s="31">
        <v>135</v>
      </c>
      <c r="C27" s="31"/>
      <c r="G27" s="38" t="s">
        <v>15</v>
      </c>
      <c r="H27" s="39"/>
      <c r="I27" s="39"/>
      <c r="J27" s="39"/>
      <c r="K27" s="40"/>
    </row>
    <row r="28" spans="1:29" x14ac:dyDescent="0.25">
      <c r="A28" s="19">
        <v>97</v>
      </c>
      <c r="B28" s="31">
        <v>128</v>
      </c>
      <c r="C28" s="31"/>
      <c r="G28" s="14" t="s">
        <v>16</v>
      </c>
      <c r="H28" s="8"/>
      <c r="I28" s="8" t="s">
        <v>22</v>
      </c>
      <c r="J28" s="8"/>
      <c r="K28" s="9"/>
    </row>
    <row r="29" spans="1:29" x14ac:dyDescent="0.25">
      <c r="A29" s="19">
        <v>95</v>
      </c>
      <c r="B29" s="31">
        <v>125</v>
      </c>
      <c r="C29" s="31"/>
      <c r="G29" s="15" t="s">
        <v>17</v>
      </c>
      <c r="I29" t="s">
        <v>23</v>
      </c>
      <c r="K29" s="11"/>
    </row>
    <row r="30" spans="1:29" x14ac:dyDescent="0.25">
      <c r="A30" s="19">
        <v>90</v>
      </c>
      <c r="B30" s="31">
        <v>119</v>
      </c>
      <c r="C30" s="31"/>
      <c r="G30" s="15" t="s">
        <v>18</v>
      </c>
      <c r="I30" t="s">
        <v>24</v>
      </c>
      <c r="K30" s="11"/>
    </row>
    <row r="31" spans="1:29" x14ac:dyDescent="0.25">
      <c r="A31" s="19">
        <v>80</v>
      </c>
      <c r="B31" s="31">
        <v>113</v>
      </c>
      <c r="C31" s="31"/>
      <c r="G31" s="15" t="s">
        <v>19</v>
      </c>
      <c r="I31" t="s">
        <v>25</v>
      </c>
      <c r="K31" s="11"/>
    </row>
    <row r="32" spans="1:29" x14ac:dyDescent="0.25">
      <c r="A32" s="19">
        <v>75</v>
      </c>
      <c r="B32" s="31">
        <v>110</v>
      </c>
      <c r="C32" s="31"/>
      <c r="G32" s="15" t="s">
        <v>20</v>
      </c>
      <c r="I32" t="s">
        <v>26</v>
      </c>
      <c r="K32" s="11"/>
    </row>
    <row r="33" spans="1:11" x14ac:dyDescent="0.25">
      <c r="A33" s="19">
        <v>70</v>
      </c>
      <c r="B33" s="31">
        <v>108</v>
      </c>
      <c r="C33" s="31"/>
      <c r="G33" s="15" t="s">
        <v>21</v>
      </c>
      <c r="I33" t="s">
        <v>27</v>
      </c>
      <c r="K33" s="11"/>
    </row>
    <row r="34" spans="1:11" x14ac:dyDescent="0.25">
      <c r="A34" s="19">
        <v>60</v>
      </c>
      <c r="B34" s="31">
        <v>104</v>
      </c>
      <c r="C34" s="31"/>
      <c r="G34" s="16">
        <v>-60</v>
      </c>
      <c r="H34" s="12"/>
      <c r="I34" s="12" t="s">
        <v>28</v>
      </c>
      <c r="J34" s="12"/>
      <c r="K34" s="13"/>
    </row>
    <row r="35" spans="1:11" x14ac:dyDescent="0.25">
      <c r="A35" s="19">
        <v>50</v>
      </c>
      <c r="B35" s="31">
        <v>100</v>
      </c>
      <c r="C35" s="31"/>
    </row>
    <row r="36" spans="1:11" x14ac:dyDescent="0.25">
      <c r="A36" s="19">
        <v>40</v>
      </c>
      <c r="B36" s="31">
        <v>96</v>
      </c>
      <c r="C36" s="31"/>
    </row>
    <row r="37" spans="1:11" x14ac:dyDescent="0.25">
      <c r="A37" s="19">
        <v>30</v>
      </c>
      <c r="B37" s="31">
        <v>92</v>
      </c>
      <c r="C37" s="31"/>
    </row>
    <row r="38" spans="1:11" x14ac:dyDescent="0.25">
      <c r="A38" s="19">
        <v>25</v>
      </c>
      <c r="B38" s="31">
        <v>90</v>
      </c>
      <c r="C38" s="31"/>
    </row>
    <row r="39" spans="1:11" x14ac:dyDescent="0.25">
      <c r="A39" s="19">
        <v>20</v>
      </c>
      <c r="B39" s="31">
        <v>87</v>
      </c>
      <c r="C39" s="31"/>
    </row>
    <row r="40" spans="1:11" x14ac:dyDescent="0.25">
      <c r="A40" s="19">
        <v>10</v>
      </c>
      <c r="B40" s="31">
        <v>81</v>
      </c>
      <c r="C40" s="31"/>
    </row>
    <row r="41" spans="1:11" x14ac:dyDescent="0.25">
      <c r="A41" s="19">
        <v>5</v>
      </c>
      <c r="B41" s="31">
        <v>75</v>
      </c>
      <c r="C41" s="31"/>
    </row>
    <row r="42" spans="1:11" x14ac:dyDescent="0.25">
      <c r="A42" s="19">
        <v>3</v>
      </c>
      <c r="B42" s="31">
        <v>72</v>
      </c>
      <c r="C42" s="31"/>
    </row>
    <row r="43" spans="1:11" x14ac:dyDescent="0.25">
      <c r="A43" s="20">
        <v>1</v>
      </c>
      <c r="B43" s="37">
        <v>65</v>
      </c>
      <c r="C43" s="37"/>
    </row>
  </sheetData>
  <mergeCells count="39">
    <mergeCell ref="B40:C40"/>
    <mergeCell ref="B41:C41"/>
    <mergeCell ref="B42:C42"/>
    <mergeCell ref="B43:C43"/>
    <mergeCell ref="G27:K27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A1:Q1"/>
    <mergeCell ref="A2:Q2"/>
    <mergeCell ref="A21:Q22"/>
    <mergeCell ref="B26:C26"/>
    <mergeCell ref="B27:C27"/>
    <mergeCell ref="N4:O4"/>
    <mergeCell ref="N5:O5"/>
    <mergeCell ref="P4:Q4"/>
    <mergeCell ref="P5:Q5"/>
    <mergeCell ref="A4:A7"/>
    <mergeCell ref="H4:I4"/>
    <mergeCell ref="H5:I5"/>
    <mergeCell ref="J4:K4"/>
    <mergeCell ref="J5:K5"/>
    <mergeCell ref="L4:M4"/>
    <mergeCell ref="L5:M5"/>
    <mergeCell ref="B4:C4"/>
    <mergeCell ref="B5:C5"/>
    <mergeCell ref="D4:E4"/>
    <mergeCell ref="D5:E5"/>
    <mergeCell ref="F5:G5"/>
    <mergeCell ref="F4:G4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PURDUE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TESSY MARICELA SOLORZANO FLORES</dc:creator>
  <cp:lastModifiedBy>Tessy Maricela Solórzano Flores</cp:lastModifiedBy>
  <dcterms:created xsi:type="dcterms:W3CDTF">2025-02-27T22:15:41Z</dcterms:created>
  <dcterms:modified xsi:type="dcterms:W3CDTF">2025-03-05T03:00:52Z</dcterms:modified>
</cp:coreProperties>
</file>