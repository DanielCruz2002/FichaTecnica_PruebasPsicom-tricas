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44ea7b017c3a8/Documents/2025/UJCV/IPAC/PSI43032-RECLUTAMIENTO_Y_SELECCIÓN/OTRAS PRUEBAS/"/>
    </mc:Choice>
  </mc:AlternateContent>
  <xr:revisionPtr revIDLastSave="3" documentId="11_314C11463C94D657684BDBFFB9F42DEFC0330993" xr6:coauthVersionLast="47" xr6:coauthVersionMax="47" xr10:uidLastSave="{7B4F74F1-DFB2-4826-B434-95F76ED370B8}"/>
  <bookViews>
    <workbookView xWindow="-120" yWindow="-120" windowWidth="20730" windowHeight="11040" firstSheet="1" activeTab="1" xr2:uid="{00000000-000D-0000-FFFF-FFFF00000000}"/>
  </bookViews>
  <sheets>
    <sheet name="Plantilla de calificación" sheetId="1" state="hidden" r:id="rId1"/>
    <sheet name="Puntuacione directas mujeres" sheetId="2" r:id="rId2"/>
    <sheet name="Puntuaciones directas hombres" sheetId="3" r:id="rId3"/>
    <sheet name="Descripció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52" i="1"/>
  <c r="I11" i="1" s="1"/>
  <c r="D13" i="1"/>
  <c r="D12" i="1"/>
  <c r="D48" i="1"/>
  <c r="D47" i="1"/>
  <c r="D43" i="1"/>
  <c r="D42" i="1"/>
  <c r="D38" i="1"/>
  <c r="D37" i="1"/>
  <c r="D33" i="1"/>
  <c r="D32" i="1"/>
  <c r="D28" i="1"/>
  <c r="D27" i="1"/>
  <c r="D23" i="1"/>
  <c r="D22" i="1"/>
  <c r="D18" i="1"/>
  <c r="D17" i="1"/>
  <c r="D8" i="1"/>
  <c r="D7" i="1"/>
  <c r="D3" i="1"/>
  <c r="D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D49" i="1" l="1"/>
  <c r="D19" i="1"/>
  <c r="D39" i="1"/>
  <c r="D29" i="1"/>
  <c r="D44" i="1"/>
  <c r="D14" i="1"/>
  <c r="D34" i="1"/>
  <c r="D24" i="1"/>
  <c r="D4" i="1"/>
  <c r="I9" i="1" l="1"/>
  <c r="I3" i="1"/>
  <c r="I7" i="1"/>
  <c r="I5" i="1"/>
  <c r="I1" i="1"/>
</calcChain>
</file>

<file path=xl/sharedStrings.xml><?xml version="1.0" encoding="utf-8"?>
<sst xmlns="http://schemas.openxmlformats.org/spreadsheetml/2006/main" count="334" uniqueCount="197">
  <si>
    <t>Ítem</t>
  </si>
  <si>
    <t>R/=</t>
  </si>
  <si>
    <t>Dinamismo</t>
  </si>
  <si>
    <t>Dominancia</t>
  </si>
  <si>
    <t>Cooperación</t>
  </si>
  <si>
    <t>Cordialidad</t>
  </si>
  <si>
    <t>Escrupulosidad</t>
  </si>
  <si>
    <t xml:space="preserve">Perseverancia </t>
  </si>
  <si>
    <t xml:space="preserve">Control de Emociones </t>
  </si>
  <si>
    <t>Control de Impulsos</t>
  </si>
  <si>
    <t>Apertura a la Cultura</t>
  </si>
  <si>
    <t>Apertura a la Experiencia</t>
  </si>
  <si>
    <t>Distorción</t>
  </si>
  <si>
    <t>Energia</t>
  </si>
  <si>
    <t>Afabilidad</t>
  </si>
  <si>
    <t>Tesón</t>
  </si>
  <si>
    <t>Estabilidad Emocional</t>
  </si>
  <si>
    <t>Apertura Mental</t>
  </si>
  <si>
    <t>96-120</t>
  </si>
  <si>
    <t>93-94</t>
  </si>
  <si>
    <t>91-92</t>
  </si>
  <si>
    <t>88-90</t>
  </si>
  <si>
    <t>86-87</t>
  </si>
  <si>
    <t>84-85</t>
  </si>
  <si>
    <t>82-83</t>
  </si>
  <si>
    <t>80-81</t>
  </si>
  <si>
    <t>77-78</t>
  </si>
  <si>
    <t>73-74</t>
  </si>
  <si>
    <t>66-67</t>
  </si>
  <si>
    <t>63-65</t>
  </si>
  <si>
    <t>60-62</t>
  </si>
  <si>
    <t>58-59</t>
  </si>
  <si>
    <t>55-56</t>
  </si>
  <si>
    <t>49-54</t>
  </si>
  <si>
    <t>24-48</t>
  </si>
  <si>
    <t>110-120</t>
  </si>
  <si>
    <t>108-109</t>
  </si>
  <si>
    <t>105-106</t>
  </si>
  <si>
    <t>102-104</t>
  </si>
  <si>
    <t>100-101</t>
  </si>
  <si>
    <t>98-99</t>
  </si>
  <si>
    <t>89-90</t>
  </si>
  <si>
    <t>85-86</t>
  </si>
  <si>
    <t>80-82</t>
  </si>
  <si>
    <t>76-79</t>
  </si>
  <si>
    <t>72-73</t>
  </si>
  <si>
    <t>24-71</t>
  </si>
  <si>
    <t>106-120</t>
  </si>
  <si>
    <t>103-105</t>
  </si>
  <si>
    <t>97-99</t>
  </si>
  <si>
    <t>94-96</t>
  </si>
  <si>
    <t>92-93</t>
  </si>
  <si>
    <t>90-91</t>
  </si>
  <si>
    <t>88-89</t>
  </si>
  <si>
    <t>76-77</t>
  </si>
  <si>
    <t>74-75</t>
  </si>
  <si>
    <t>71-73</t>
  </si>
  <si>
    <t>67-70</t>
  </si>
  <si>
    <t>24-59</t>
  </si>
  <si>
    <t>113-120</t>
  </si>
  <si>
    <t>109-120</t>
  </si>
  <si>
    <t>48-60</t>
  </si>
  <si>
    <t>11-113</t>
  </si>
  <si>
    <t>111-112</t>
  </si>
  <si>
    <t>107-108</t>
  </si>
  <si>
    <t>103-106</t>
  </si>
  <si>
    <t>100-102</t>
  </si>
  <si>
    <t>96-97</t>
  </si>
  <si>
    <t>94-95</t>
  </si>
  <si>
    <t>81-83</t>
  </si>
  <si>
    <t>77-79</t>
  </si>
  <si>
    <t>75-76</t>
  </si>
  <si>
    <t>69-74</t>
  </si>
  <si>
    <t>62-68</t>
  </si>
  <si>
    <t>52-60</t>
  </si>
  <si>
    <t>49-51</t>
  </si>
  <si>
    <t>104-105</t>
  </si>
  <si>
    <t>101-103</t>
  </si>
  <si>
    <t>99-100</t>
  </si>
  <si>
    <t>83-84</t>
  </si>
  <si>
    <t>81-82</t>
  </si>
  <si>
    <t>79-80</t>
  </si>
  <si>
    <t>70-72</t>
  </si>
  <si>
    <t>24-69</t>
  </si>
  <si>
    <t>43-45</t>
  </si>
  <si>
    <t>40-42</t>
  </si>
  <si>
    <t>37-38</t>
  </si>
  <si>
    <t>24-25</t>
  </si>
  <si>
    <t>22-23</t>
  </si>
  <si>
    <t>19-20</t>
  </si>
  <si>
    <t>97-120</t>
  </si>
  <si>
    <t>95-96</t>
  </si>
  <si>
    <t>89-91</t>
  </si>
  <si>
    <t>86-88</t>
  </si>
  <si>
    <t>78-79</t>
  </si>
  <si>
    <t>71-72</t>
  </si>
  <si>
    <t>68-69</t>
  </si>
  <si>
    <t>65-66</t>
  </si>
  <si>
    <t>63-64</t>
  </si>
  <si>
    <t>57-59</t>
  </si>
  <si>
    <t>54-56</t>
  </si>
  <si>
    <t>51-52</t>
  </si>
  <si>
    <t>24-49</t>
  </si>
  <si>
    <t>108-120</t>
  </si>
  <si>
    <t>102-103</t>
  </si>
  <si>
    <t>99-101</t>
  </si>
  <si>
    <t>97-98</t>
  </si>
  <si>
    <t>78-80</t>
  </si>
  <si>
    <t>75-77</t>
  </si>
  <si>
    <t>24-70</t>
  </si>
  <si>
    <t>98-100</t>
  </si>
  <si>
    <t>95-97</t>
  </si>
  <si>
    <t>87-88</t>
  </si>
  <si>
    <t>68-70</t>
  </si>
  <si>
    <t>64-65</t>
  </si>
  <si>
    <t>62-63</t>
  </si>
  <si>
    <t>21-61</t>
  </si>
  <si>
    <t>114-120</t>
  </si>
  <si>
    <t>106-108</t>
  </si>
  <si>
    <t>71-74</t>
  </si>
  <si>
    <t>66-70</t>
  </si>
  <si>
    <t>56-59</t>
  </si>
  <si>
    <t>24-55</t>
  </si>
  <si>
    <t>12 15</t>
  </si>
  <si>
    <t>106-107</t>
  </si>
  <si>
    <t>74-76</t>
  </si>
  <si>
    <t>70-71</t>
  </si>
  <si>
    <t>66-68</t>
  </si>
  <si>
    <t>49-60</t>
  </si>
  <si>
    <t>47-48</t>
  </si>
  <si>
    <t>43-44</t>
  </si>
  <si>
    <t>38-39</t>
  </si>
  <si>
    <t>34-35</t>
  </si>
  <si>
    <t>25-26</t>
  </si>
  <si>
    <t>21-22</t>
  </si>
  <si>
    <t>12 14</t>
  </si>
  <si>
    <t>Distorsión</t>
  </si>
  <si>
    <t>56-60</t>
  </si>
  <si>
    <t>49-50</t>
  </si>
  <si>
    <t>30-32</t>
  </si>
  <si>
    <t>28-29</t>
  </si>
  <si>
    <t>45-60</t>
  </si>
  <si>
    <t>39-40</t>
  </si>
  <si>
    <t>12 21</t>
  </si>
  <si>
    <t>12 24</t>
  </si>
  <si>
    <t>58-60</t>
  </si>
  <si>
    <t>41-42</t>
  </si>
  <si>
    <t>12 36</t>
  </si>
  <si>
    <t>53-60</t>
  </si>
  <si>
    <t>33-34</t>
  </si>
  <si>
    <t>12 29</t>
  </si>
  <si>
    <t>55-60</t>
  </si>
  <si>
    <t>53-54</t>
  </si>
  <si>
    <t>28-30</t>
  </si>
  <si>
    <t>26-27</t>
  </si>
  <si>
    <t>23-24</t>
  </si>
  <si>
    <t>12 22</t>
  </si>
  <si>
    <t>12 32</t>
  </si>
  <si>
    <t>59-60</t>
  </si>
  <si>
    <t>42-43</t>
  </si>
  <si>
    <t>38-40</t>
  </si>
  <si>
    <t>35-37</t>
  </si>
  <si>
    <t>32-33</t>
  </si>
  <si>
    <t>29-31</t>
  </si>
  <si>
    <t>12 28</t>
  </si>
  <si>
    <t>50-51</t>
  </si>
  <si>
    <t>48-49</t>
  </si>
  <si>
    <t>35-36</t>
  </si>
  <si>
    <t>31-32</t>
  </si>
  <si>
    <t>12 23</t>
  </si>
  <si>
    <t>34-36</t>
  </si>
  <si>
    <t>12 30</t>
  </si>
  <si>
    <t>12 31</t>
  </si>
  <si>
    <t>57-60</t>
  </si>
  <si>
    <t>33-35</t>
  </si>
  <si>
    <t>29-30</t>
  </si>
  <si>
    <t>12 27</t>
  </si>
  <si>
    <t>40-41</t>
  </si>
  <si>
    <t>12 20</t>
  </si>
  <si>
    <t>54-55</t>
  </si>
  <si>
    <t>12 38</t>
  </si>
  <si>
    <t>36-37</t>
  </si>
  <si>
    <t>46-47</t>
  </si>
  <si>
    <t>44-45</t>
  </si>
  <si>
    <t>30-31</t>
  </si>
  <si>
    <t>27-29</t>
  </si>
  <si>
    <t>12 19</t>
  </si>
  <si>
    <t>52-53</t>
  </si>
  <si>
    <t>12 33</t>
  </si>
  <si>
    <t>57-58</t>
  </si>
  <si>
    <t>34-37</t>
  </si>
  <si>
    <t>54-60</t>
  </si>
  <si>
    <t>45-46</t>
  </si>
  <si>
    <t>28-31</t>
  </si>
  <si>
    <t>23-25</t>
  </si>
  <si>
    <t>15-20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</si>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</sst>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17" fontId="0" fillId="0" borderId="13" xfId="0" applyNumberForma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1" borderId="8" xfId="0" applyFill="1" applyBorder="1"/>
    <xf numFmtId="0" fontId="0" fillId="11" borderId="9" xfId="0" applyFill="1" applyBorder="1"/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00CC66"/>
      <color rgb="FFCC00CC"/>
      <color rgb="FFCCFF33"/>
      <color rgb="FFFF9966"/>
      <color rgb="FFFF99FF"/>
      <color rgb="FFFFFF66"/>
      <color rgb="FF66FFFF"/>
      <color rgb="FF66FF33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38100</xdr:rowOff>
    </xdr:from>
    <xdr:to>
      <xdr:col>6</xdr:col>
      <xdr:colOff>381000</xdr:colOff>
      <xdr:row>1</xdr:row>
      <xdr:rowOff>66675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33475" y="38100"/>
          <a:ext cx="3819525" cy="2190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Puntuaciones Directas Mujeres</a:t>
          </a:r>
        </a:p>
      </xdr:txBody>
    </xdr:sp>
    <xdr:clientData/>
  </xdr:twoCellAnchor>
  <xdr:twoCellAnchor>
    <xdr:from>
      <xdr:col>0</xdr:col>
      <xdr:colOff>28575</xdr:colOff>
      <xdr:row>2</xdr:row>
      <xdr:rowOff>0</xdr:rowOff>
    </xdr:from>
    <xdr:to>
      <xdr:col>1</xdr:col>
      <xdr:colOff>0</xdr:colOff>
      <xdr:row>3</xdr:row>
      <xdr:rowOff>19050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8575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Pc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733425</xdr:colOff>
      <xdr:row>3</xdr:row>
      <xdr:rowOff>19050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6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E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733425</xdr:colOff>
      <xdr:row>3</xdr:row>
      <xdr:rowOff>19050</xdr:rowOff>
    </xdr:to>
    <xdr:sp macro="" textlink="">
      <xdr:nvSpPr>
        <xdr:cNvPr id="11" name="10 Rectángul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52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733425</xdr:colOff>
      <xdr:row>3</xdr:row>
      <xdr:rowOff>19050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286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T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733425</xdr:colOff>
      <xdr:row>3</xdr:row>
      <xdr:rowOff>19050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048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EE</a:t>
          </a: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733425</xdr:colOff>
      <xdr:row>3</xdr:row>
      <xdr:rowOff>19050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810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AM</a:t>
          </a: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6</xdr:col>
      <xdr:colOff>733425</xdr:colOff>
      <xdr:row>3</xdr:row>
      <xdr:rowOff>19050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57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D</a:t>
          </a:r>
        </a:p>
      </xdr:txBody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733425</xdr:colOff>
      <xdr:row>3</xdr:row>
      <xdr:rowOff>19050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33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T</a:t>
          </a:r>
        </a:p>
      </xdr:txBody>
    </xdr:sp>
    <xdr:clientData/>
  </xdr:twoCellAnchor>
  <xdr:twoCellAnchor>
    <xdr:from>
      <xdr:col>14</xdr:col>
      <xdr:colOff>352425</xdr:colOff>
      <xdr:row>2</xdr:row>
      <xdr:rowOff>0</xdr:rowOff>
    </xdr:from>
    <xdr:to>
      <xdr:col>19</xdr:col>
      <xdr:colOff>361950</xdr:colOff>
      <xdr:row>3</xdr:row>
      <xdr:rowOff>28575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9496425" y="0"/>
          <a:ext cx="3819525" cy="2190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Puntuaciones Directas Mujeres</a:t>
          </a:r>
        </a:p>
      </xdr:txBody>
    </xdr:sp>
    <xdr:clientData/>
  </xdr:twoCellAnchor>
  <xdr:twoCellAnchor>
    <xdr:from>
      <xdr:col>11</xdr:col>
      <xdr:colOff>28575</xdr:colOff>
      <xdr:row>4</xdr:row>
      <xdr:rowOff>0</xdr:rowOff>
    </xdr:from>
    <xdr:to>
      <xdr:col>12</xdr:col>
      <xdr:colOff>0</xdr:colOff>
      <xdr:row>5</xdr:row>
      <xdr:rowOff>19050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6886575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Pc</a:t>
          </a:r>
        </a:p>
      </xdr:txBody>
    </xdr:sp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733425</xdr:colOff>
      <xdr:row>5</xdr:row>
      <xdr:rowOff>19050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7620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Di</a:t>
          </a:r>
        </a:p>
      </xdr:txBody>
    </xdr: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733425</xdr:colOff>
      <xdr:row>5</xdr:row>
      <xdr:rowOff>19050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838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Do</a:t>
          </a:r>
        </a:p>
      </xdr:txBody>
    </xdr:sp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733425</xdr:colOff>
      <xdr:row>5</xdr:row>
      <xdr:rowOff>19050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914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733425</xdr:colOff>
      <xdr:row>5</xdr:row>
      <xdr:rowOff>19050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9906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Co</a:t>
          </a:r>
        </a:p>
      </xdr:txBody>
    </xdr:sp>
    <xdr:clientData/>
  </xdr:twoCellAnchor>
  <xdr:twoCellAnchor>
    <xdr:from>
      <xdr:col>16</xdr:col>
      <xdr:colOff>0</xdr:colOff>
      <xdr:row>4</xdr:row>
      <xdr:rowOff>0</xdr:rowOff>
    </xdr:from>
    <xdr:to>
      <xdr:col>16</xdr:col>
      <xdr:colOff>733425</xdr:colOff>
      <xdr:row>5</xdr:row>
      <xdr:rowOff>19050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0668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Es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733425</xdr:colOff>
      <xdr:row>5</xdr:row>
      <xdr:rowOff>19050</xdr:rowOff>
    </xdr:to>
    <xdr:sp macro="" textlink="">
      <xdr:nvSpPr>
        <xdr:cNvPr id="37" name="36 Rectángul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1430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Pe</a:t>
          </a:r>
        </a:p>
      </xdr:txBody>
    </xdr:sp>
    <xdr:clientData/>
  </xdr:twoCellAnchor>
  <xdr:twoCellAnchor>
    <xdr:from>
      <xdr:col>22</xdr:col>
      <xdr:colOff>9525</xdr:colOff>
      <xdr:row>4</xdr:row>
      <xdr:rowOff>0</xdr:rowOff>
    </xdr:from>
    <xdr:to>
      <xdr:col>22</xdr:col>
      <xdr:colOff>742950</xdr:colOff>
      <xdr:row>5</xdr:row>
      <xdr:rowOff>19050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5249525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T</a:t>
          </a:r>
        </a:p>
      </xdr:txBody>
    </xdr:sp>
    <xdr:clientData/>
  </xdr:twoCellAnchor>
  <xdr:twoCellAnchor>
    <xdr:from>
      <xdr:col>18</xdr:col>
      <xdr:colOff>0</xdr:colOff>
      <xdr:row>4</xdr:row>
      <xdr:rowOff>0</xdr:rowOff>
    </xdr:from>
    <xdr:to>
      <xdr:col>18</xdr:col>
      <xdr:colOff>733425</xdr:colOff>
      <xdr:row>5</xdr:row>
      <xdr:rowOff>19050</xdr:rowOff>
    </xdr:to>
    <xdr:sp macro="" textlink="">
      <xdr:nvSpPr>
        <xdr:cNvPr id="39" name="38 Rectángul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219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Ce</a:t>
          </a:r>
        </a:p>
      </xdr:txBody>
    </xdr:sp>
    <xdr:clientData/>
  </xdr:twoCellAnchor>
  <xdr:twoCellAnchor>
    <xdr:from>
      <xdr:col>19</xdr:col>
      <xdr:colOff>0</xdr:colOff>
      <xdr:row>4</xdr:row>
      <xdr:rowOff>0</xdr:rowOff>
    </xdr:from>
    <xdr:to>
      <xdr:col>19</xdr:col>
      <xdr:colOff>733425</xdr:colOff>
      <xdr:row>5</xdr:row>
      <xdr:rowOff>19050</xdr:rowOff>
    </xdr:to>
    <xdr:sp macro="" textlink="">
      <xdr:nvSpPr>
        <xdr:cNvPr id="40" name="39 Rectángul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295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Ci</a:t>
          </a:r>
        </a:p>
      </xdr:txBody>
    </xdr:sp>
    <xdr:clientData/>
  </xdr:twoCellAnchor>
  <xdr:twoCellAnchor>
    <xdr:from>
      <xdr:col>20</xdr:col>
      <xdr:colOff>0</xdr:colOff>
      <xdr:row>4</xdr:row>
      <xdr:rowOff>0</xdr:rowOff>
    </xdr:from>
    <xdr:to>
      <xdr:col>20</xdr:col>
      <xdr:colOff>733425</xdr:colOff>
      <xdr:row>5</xdr:row>
      <xdr:rowOff>19050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13716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Ac</a:t>
          </a:r>
        </a:p>
      </xdr:txBody>
    </xdr:sp>
    <xdr:clientData/>
  </xdr:twoCellAnchor>
  <xdr:twoCellAnchor>
    <xdr:from>
      <xdr:col>21</xdr:col>
      <xdr:colOff>0</xdr:colOff>
      <xdr:row>4</xdr:row>
      <xdr:rowOff>0</xdr:rowOff>
    </xdr:from>
    <xdr:to>
      <xdr:col>21</xdr:col>
      <xdr:colOff>733425</xdr:colOff>
      <xdr:row>5</xdr:row>
      <xdr:rowOff>19050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14478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38100</xdr:rowOff>
    </xdr:from>
    <xdr:to>
      <xdr:col>6</xdr:col>
      <xdr:colOff>323850</xdr:colOff>
      <xdr:row>1</xdr:row>
      <xdr:rowOff>66675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76325" y="38100"/>
          <a:ext cx="3819525" cy="2190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Puntuaciones Directas Hombres</a:t>
          </a:r>
        </a:p>
      </xdr:txBody>
    </xdr:sp>
    <xdr:clientData/>
  </xdr:twoCellAnchor>
  <xdr:twoCellAnchor>
    <xdr:from>
      <xdr:col>0</xdr:col>
      <xdr:colOff>28575</xdr:colOff>
      <xdr:row>2</xdr:row>
      <xdr:rowOff>0</xdr:rowOff>
    </xdr:from>
    <xdr:to>
      <xdr:col>1</xdr:col>
      <xdr:colOff>0</xdr:colOff>
      <xdr:row>3</xdr:row>
      <xdr:rowOff>19050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8575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Pc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733425</xdr:colOff>
      <xdr:row>3</xdr:row>
      <xdr:rowOff>19050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6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E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733425</xdr:colOff>
      <xdr:row>3</xdr:row>
      <xdr:rowOff>19050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52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733425</xdr:colOff>
      <xdr:row>3</xdr:row>
      <xdr:rowOff>19050</xdr:rowOff>
    </xdr:to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86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T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733425</xdr:colOff>
      <xdr:row>3</xdr:row>
      <xdr:rowOff>19050</xdr:rowOff>
    </xdr:to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048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EE</a:t>
          </a: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733425</xdr:colOff>
      <xdr:row>3</xdr:row>
      <xdr:rowOff>19050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810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AM</a:t>
          </a: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6</xdr:col>
      <xdr:colOff>733425</xdr:colOff>
      <xdr:row>3</xdr:row>
      <xdr:rowOff>19050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57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D</a:t>
          </a:r>
        </a:p>
      </xdr:txBody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733425</xdr:colOff>
      <xdr:row>3</xdr:row>
      <xdr:rowOff>19050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T</a:t>
          </a:r>
        </a:p>
      </xdr:txBody>
    </xdr:sp>
    <xdr:clientData/>
  </xdr:twoCellAnchor>
  <xdr:twoCellAnchor>
    <xdr:from>
      <xdr:col>12</xdr:col>
      <xdr:colOff>381000</xdr:colOff>
      <xdr:row>0</xdr:row>
      <xdr:rowOff>0</xdr:rowOff>
    </xdr:from>
    <xdr:to>
      <xdr:col>17</xdr:col>
      <xdr:colOff>390525</xdr:colOff>
      <xdr:row>1</xdr:row>
      <xdr:rowOff>28575</xdr:rowOff>
    </xdr:to>
    <xdr:sp macro="" textlink="">
      <xdr:nvSpPr>
        <xdr:cNvPr id="11" name="10 Rectángul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525000" y="0"/>
          <a:ext cx="3819525" cy="2190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Puntuaciones Directas Hombres</a:t>
          </a:r>
        </a:p>
      </xdr:txBody>
    </xdr:sp>
    <xdr:clientData/>
  </xdr:twoCellAnchor>
  <xdr:twoCellAnchor>
    <xdr:from>
      <xdr:col>9</xdr:col>
      <xdr:colOff>28575</xdr:colOff>
      <xdr:row>2</xdr:row>
      <xdr:rowOff>0</xdr:rowOff>
    </xdr:from>
    <xdr:to>
      <xdr:col>10</xdr:col>
      <xdr:colOff>0</xdr:colOff>
      <xdr:row>3</xdr:row>
      <xdr:rowOff>19050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8575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Pc</a:t>
          </a:r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10</xdr:col>
      <xdr:colOff>733425</xdr:colOff>
      <xdr:row>3</xdr:row>
      <xdr:rowOff>19050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76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Di</a:t>
          </a:r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11</xdr:col>
      <xdr:colOff>733425</xdr:colOff>
      <xdr:row>3</xdr:row>
      <xdr:rowOff>19050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52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Do</a:t>
          </a:r>
        </a:p>
      </xdr:txBody>
    </xdr:sp>
    <xdr:clientData/>
  </xdr:twoCellAnchor>
  <xdr:twoCellAnchor>
    <xdr:from>
      <xdr:col>12</xdr:col>
      <xdr:colOff>0</xdr:colOff>
      <xdr:row>2</xdr:row>
      <xdr:rowOff>0</xdr:rowOff>
    </xdr:from>
    <xdr:to>
      <xdr:col>12</xdr:col>
      <xdr:colOff>733425</xdr:colOff>
      <xdr:row>3</xdr:row>
      <xdr:rowOff>19050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286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Cp</a:t>
          </a:r>
        </a:p>
      </xdr:txBody>
    </xdr: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733425</xdr:colOff>
      <xdr:row>3</xdr:row>
      <xdr:rowOff>19050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048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Co</a:t>
          </a:r>
        </a:p>
      </xdr:txBody>
    </xdr:sp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733425</xdr:colOff>
      <xdr:row>3</xdr:row>
      <xdr:rowOff>19050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810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Es</a:t>
          </a:r>
        </a:p>
      </xdr:txBody>
    </xdr:sp>
    <xdr:clientData/>
  </xdr:twoCellAnchor>
  <xdr:twoCellAnchor>
    <xdr:from>
      <xdr:col>15</xdr:col>
      <xdr:colOff>0</xdr:colOff>
      <xdr:row>2</xdr:row>
      <xdr:rowOff>0</xdr:rowOff>
    </xdr:from>
    <xdr:to>
      <xdr:col>15</xdr:col>
      <xdr:colOff>733425</xdr:colOff>
      <xdr:row>3</xdr:row>
      <xdr:rowOff>19050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57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Pe</a:t>
          </a:r>
        </a:p>
      </xdr:txBody>
    </xdr:sp>
    <xdr:clientData/>
  </xdr:twoCellAnchor>
  <xdr:twoCellAnchor>
    <xdr:from>
      <xdr:col>20</xdr:col>
      <xdr:colOff>9525</xdr:colOff>
      <xdr:row>2</xdr:row>
      <xdr:rowOff>0</xdr:rowOff>
    </xdr:from>
    <xdr:to>
      <xdr:col>20</xdr:col>
      <xdr:colOff>742950</xdr:colOff>
      <xdr:row>3</xdr:row>
      <xdr:rowOff>19050</xdr:rowOff>
    </xdr:to>
    <xdr:sp macro="" textlink="">
      <xdr:nvSpPr>
        <xdr:cNvPr id="19" name="18 Rectángulo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5249525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T</a:t>
          </a:r>
        </a:p>
      </xdr:txBody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733425</xdr:colOff>
      <xdr:row>3</xdr:row>
      <xdr:rowOff>19050</xdr:rowOff>
    </xdr:to>
    <xdr:sp macro="" textlink="">
      <xdr:nvSpPr>
        <xdr:cNvPr id="20" name="19 Rectángulo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2192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Ce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733425</xdr:colOff>
      <xdr:row>3</xdr:row>
      <xdr:rowOff>19050</xdr:rowOff>
    </xdr:to>
    <xdr:sp macro="" textlink="">
      <xdr:nvSpPr>
        <xdr:cNvPr id="21" name="20 Rectángulo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2954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Ci</a:t>
          </a:r>
        </a:p>
      </xdr:txBody>
    </xdr:sp>
    <xdr:clientData/>
  </xdr:twoCellAnchor>
  <xdr:twoCellAnchor>
    <xdr:from>
      <xdr:col>18</xdr:col>
      <xdr:colOff>0</xdr:colOff>
      <xdr:row>2</xdr:row>
      <xdr:rowOff>0</xdr:rowOff>
    </xdr:from>
    <xdr:to>
      <xdr:col>18</xdr:col>
      <xdr:colOff>733425</xdr:colOff>
      <xdr:row>3</xdr:row>
      <xdr:rowOff>19050</xdr:rowOff>
    </xdr:to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3716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Ac</a:t>
          </a:r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733425</xdr:colOff>
      <xdr:row>3</xdr:row>
      <xdr:rowOff>19050</xdr:rowOff>
    </xdr:to>
    <xdr:sp macro="" textlink="">
      <xdr:nvSpPr>
        <xdr:cNvPr id="23" name="22 Rectángulo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4478000" y="381000"/>
          <a:ext cx="733425" cy="2095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Ae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0</xdr:rowOff>
    </xdr:from>
    <xdr:to>
      <xdr:col>1</xdr:col>
      <xdr:colOff>752474</xdr:colOff>
      <xdr:row>2</xdr:row>
      <xdr:rowOff>180975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61999" y="190500"/>
          <a:ext cx="752475" cy="3714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Rango</a:t>
          </a:r>
        </a:p>
      </xdr:txBody>
    </xdr:sp>
    <xdr:clientData/>
  </xdr:twoCellAnchor>
  <xdr:twoCellAnchor>
    <xdr:from>
      <xdr:col>2</xdr:col>
      <xdr:colOff>9525</xdr:colOff>
      <xdr:row>1</xdr:row>
      <xdr:rowOff>0</xdr:rowOff>
    </xdr:from>
    <xdr:to>
      <xdr:col>4</xdr:col>
      <xdr:colOff>0</xdr:colOff>
      <xdr:row>3</xdr:row>
      <xdr:rowOff>57150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533525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</a:t>
          </a:r>
          <a:r>
            <a:rPr lang="es-ES" sz="1100" baseline="0"/>
            <a:t> Energía</a:t>
          </a:r>
          <a:endParaRPr lang="es-ES" sz="1100"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752475</xdr:colOff>
      <xdr:row>3</xdr:row>
      <xdr:rowOff>57150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048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Afabilidad</a:t>
          </a:r>
          <a:endParaRPr lang="es-ES" sz="1100"/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752475</xdr:colOff>
      <xdr:row>3</xdr:row>
      <xdr:rowOff>57150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572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</a:t>
          </a:r>
          <a:r>
            <a:rPr lang="es-ES" sz="1100" baseline="0"/>
            <a:t> Tesón</a:t>
          </a:r>
          <a:endParaRPr lang="es-ES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9</xdr:col>
      <xdr:colOff>752475</xdr:colOff>
      <xdr:row>3</xdr:row>
      <xdr:rowOff>57150</xdr:rowOff>
    </xdr:to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096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Estabilidad Emocional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11</xdr:col>
      <xdr:colOff>752475</xdr:colOff>
      <xdr:row>3</xdr:row>
      <xdr:rowOff>57150</xdr:rowOff>
    </xdr:to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7620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Apertura Mental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752475</xdr:colOff>
      <xdr:row>3</xdr:row>
      <xdr:rowOff>57150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9144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 Distorsión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4</xdr:col>
      <xdr:colOff>0</xdr:colOff>
      <xdr:row>11</xdr:row>
      <xdr:rowOff>171450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524000" y="571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muy  dinámica, activa,  enérgica, dominante y locuaz.</a:t>
          </a:r>
          <a:endParaRPr lang="es-ES" sz="1100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3048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muy cooperativa, cordial,  altruista, amigable, generosa y empática.</a:t>
          </a:r>
          <a:endParaRPr lang="es-ES" sz="1100"/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572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muy  reflexiva, escrupulosa, ordenada, diligente y perseverante.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6096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poco ansiosa, vulnerable, emotiva, impulsiva, impaciente e irritable.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19" name="18 Rectángulo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7620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muy culta, informada, interesada por las  cosas  y experiencias nuevas, dispuesta al contacto  con culturas y costumbres distintas.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2</xdr:row>
      <xdr:rowOff>190499</xdr:rowOff>
    </xdr:from>
    <xdr:to>
      <xdr:col>14</xdr:col>
      <xdr:colOff>0</xdr:colOff>
      <xdr:row>11</xdr:row>
      <xdr:rowOff>180974</xdr:rowOff>
    </xdr:to>
    <xdr:sp macro="" textlink="">
      <xdr:nvSpPr>
        <xdr:cNvPr id="20" name="19 Rectángulo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9144000" y="571499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Identifica al sujeto  que  muy  probablemente ofrece un perfil falseado en sentido positivo, en un intento de dar  una imagen  de sí mismo desproporcionadamente favorable.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4</xdr:col>
      <xdr:colOff>0</xdr:colOff>
      <xdr:row>20</xdr:row>
      <xdr:rowOff>171450</xdr:rowOff>
    </xdr:to>
    <xdr:sp macro="" textlink="">
      <xdr:nvSpPr>
        <xdr:cNvPr id="21" name="20 Rectángulo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524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dinámica, activa, enérgica, dominante y locuaz.</a:t>
          </a:r>
          <a:endParaRPr lang="es-E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6</xdr:col>
      <xdr:colOff>0</xdr:colOff>
      <xdr:row>20</xdr:row>
      <xdr:rowOff>171450</xdr:rowOff>
    </xdr:to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3048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cooperativa, cordial, altruista, generosa y empática por lo que es alguien amigable</a:t>
          </a:r>
          <a:endParaRPr lang="es-ES" sz="1100"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8</xdr:col>
      <xdr:colOff>0</xdr:colOff>
      <xdr:row>20</xdr:row>
      <xdr:rowOff>171450</xdr:rowOff>
    </xdr:to>
    <xdr:sp macro="" textlink="">
      <xdr:nvSpPr>
        <xdr:cNvPr id="23" name="22 Rectángulo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4572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reflexiva, escrupulosa, ordenada y perseverante por lo que es alguien diligente.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10</xdr:col>
      <xdr:colOff>0</xdr:colOff>
      <xdr:row>20</xdr:row>
      <xdr:rowOff>171450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6096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que muestra poca ansiedad, vulnerabilidad y emotividad, por lo que regula su impulsividad, impaciencia e irritabilidad.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12</xdr:col>
      <xdr:colOff>0</xdr:colOff>
      <xdr:row>20</xdr:row>
      <xdr:rowOff>171450</xdr:rowOff>
    </xdr:to>
    <xdr:sp macro="" textlink="">
      <xdr:nvSpPr>
        <xdr:cNvPr id="25" name="24 Rectángulo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7620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que conoce, se interesa por su entorno en general, dispuesta al contacto con culturas y costumbres distintas.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14</xdr:col>
      <xdr:colOff>0</xdr:colOff>
      <xdr:row>20</xdr:row>
      <xdr:rowOff>171450</xdr:rowOff>
    </xdr:to>
    <xdr:sp macro="" textlink="">
      <xdr:nvSpPr>
        <xdr:cNvPr id="26" name="25 Rectángulo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9144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Identifica la persona  que probablemente  introduce un  cierto  sesgo  positivo  en  sus respuestas, que  tiende  a negar  defectos personales  o que es particularmente ingenua.</a:t>
          </a:r>
          <a:endParaRPr lang="es-ES" sz="1100"/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4</xdr:col>
      <xdr:colOff>0</xdr:colOff>
      <xdr:row>29</xdr:row>
      <xdr:rowOff>171450</xdr:rowOff>
    </xdr:to>
    <xdr:sp macro="" textlink="">
      <xdr:nvSpPr>
        <xdr:cNvPr id="27" name="26 Rectángulo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24000" y="4000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con moderada energía, así como moderada actividad, y dominancia.</a:t>
          </a:r>
          <a:endParaRPr lang="es-E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6</xdr:col>
      <xdr:colOff>0</xdr:colOff>
      <xdr:row>29</xdr:row>
      <xdr:rowOff>171450</xdr:rowOff>
    </xdr:to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3048000" y="4000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 moderadamente cooperativa, cordial, altruista, generosa y empática por lo que es alguien amigable.</a:t>
          </a:r>
          <a:endParaRPr lang="es-ES" sz="1100"/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8</xdr:col>
      <xdr:colOff>0</xdr:colOff>
      <xdr:row>29</xdr:row>
      <xdr:rowOff>171450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4572000" y="4000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moderadamente reflexiva, escrupulosa, ordenada y perseverante por lo que es alguien diligente.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10</xdr:col>
      <xdr:colOff>0</xdr:colOff>
      <xdr:row>29</xdr:row>
      <xdr:rowOff>171450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6096000" y="4000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que muestra de manera moderada poca ansiedad, vulnerabilidad y emotividad, por lo que regula su impulsividad, impaciencia e irritabilidad.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0</xdr:colOff>
      <xdr:row>29</xdr:row>
      <xdr:rowOff>171450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7620000" y="4000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una persona que conoce, se interesa por su entorno en general, dispuesta al contacto con culturas y costumbres distintas de una forma moderada.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14</xdr:col>
      <xdr:colOff>0</xdr:colOff>
      <xdr:row>29</xdr:row>
      <xdr:rowOff>171450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9144000" y="4000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Identifica un perfil libre  de sesgo en sentido positivo o negativo.</a:t>
          </a:r>
          <a:endParaRPr lang="es-ES" sz="1100"/>
        </a:p>
      </xdr:txBody>
    </xdr:sp>
    <xdr:clientData/>
  </xdr:twoCellAnchor>
  <xdr:twoCellAnchor>
    <xdr:from>
      <xdr:col>0</xdr:col>
      <xdr:colOff>752475</xdr:colOff>
      <xdr:row>3</xdr:row>
      <xdr:rowOff>0</xdr:rowOff>
    </xdr:from>
    <xdr:to>
      <xdr:col>1</xdr:col>
      <xdr:colOff>752475</xdr:colOff>
      <xdr:row>12</xdr:row>
      <xdr:rowOff>19050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752475" y="571500"/>
          <a:ext cx="762000" cy="1733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66-75</a:t>
          </a:r>
        </a:p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Muy Alto</a:t>
          </a:r>
          <a:endParaRPr lang="es-ES" sz="1100"/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2</xdr:col>
      <xdr:colOff>0</xdr:colOff>
      <xdr:row>21</xdr:row>
      <xdr:rowOff>19050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762000" y="2286000"/>
          <a:ext cx="762000" cy="1733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56-64</a:t>
          </a:r>
        </a:p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Alto</a:t>
          </a:r>
          <a:endParaRPr lang="es-ES" sz="1100"/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2</xdr:col>
      <xdr:colOff>0</xdr:colOff>
      <xdr:row>30</xdr:row>
      <xdr:rowOff>19050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762000" y="4000500"/>
          <a:ext cx="762000" cy="1733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46-54</a:t>
          </a:r>
        </a:p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Medio</a:t>
          </a:r>
          <a:endParaRPr lang="es-ES" sz="1100"/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2</xdr:col>
      <xdr:colOff>19050</xdr:colOff>
      <xdr:row>39</xdr:row>
      <xdr:rowOff>19050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762000" y="5715000"/>
          <a:ext cx="781050" cy="1733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4</xdr:col>
      <xdr:colOff>0</xdr:colOff>
      <xdr:row>38</xdr:row>
      <xdr:rowOff>171450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524000" y="5715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a describirse como una persona poco dinámica y activa,  poco enérgica,  sumisa y taciturna.</a:t>
          </a: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4</xdr:col>
      <xdr:colOff>0</xdr:colOff>
      <xdr:row>47</xdr:row>
      <xdr:rowOff>171450</xdr:rowOff>
    </xdr:to>
    <xdr:sp macro="" textlink="">
      <xdr:nvSpPr>
        <xdr:cNvPr id="39" name="38 Rectángulo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1524000" y="7429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con minina energía para realizar cualquier actividad, así como poco activa, siendo sumisa y taciturna.</a:t>
          </a:r>
          <a:endParaRPr lang="es-E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6</xdr:col>
      <xdr:colOff>0</xdr:colOff>
      <xdr:row>38</xdr:row>
      <xdr:rowOff>171450</xdr:rowOff>
    </xdr:to>
    <xdr:sp macro="" textlink="">
      <xdr:nvSpPr>
        <xdr:cNvPr id="40" name="39 Rectángulo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3048000" y="5715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poco cooperativa, poco cordial,  poco altruista, poco amigable, poco generosa y poco empática.</a:t>
          </a:r>
          <a:endParaRPr lang="es-ES" sz="1100"/>
        </a:p>
      </xdr:txBody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47</xdr:row>
      <xdr:rowOff>171450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3048000" y="7429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con mínimo interés en cooperar, ser cordial, amigable y generosa, lo que la lleva a no ser altruista.</a:t>
          </a:r>
          <a:endParaRPr lang="es-ES" sz="1100"/>
        </a:p>
      </xdr:txBody>
    </xdr:sp>
    <xdr:clientData/>
  </xdr:twoCellAnchor>
  <xdr:twoCellAnchor>
    <xdr:from>
      <xdr:col>6</xdr:col>
      <xdr:colOff>0</xdr:colOff>
      <xdr:row>30</xdr:row>
      <xdr:rowOff>0</xdr:rowOff>
    </xdr:from>
    <xdr:to>
      <xdr:col>8</xdr:col>
      <xdr:colOff>0</xdr:colOff>
      <xdr:row>38</xdr:row>
      <xdr:rowOff>171450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4572000" y="5715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muy  dinámica, activa,  enérgica, dominante y locuaz.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30</xdr:row>
      <xdr:rowOff>0</xdr:rowOff>
    </xdr:from>
    <xdr:to>
      <xdr:col>10</xdr:col>
      <xdr:colOff>0</xdr:colOff>
      <xdr:row>38</xdr:row>
      <xdr:rowOff>171450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6096000" y="5715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a describirse como muy  ansiosa, vulnerable, emotiva, impulsiva, impaciente e irritable.</a:t>
          </a:r>
        </a:p>
      </xdr:txBody>
    </xdr:sp>
    <xdr:clientData/>
  </xdr:twoCellAnchor>
  <xdr:twoCellAnchor>
    <xdr:from>
      <xdr:col>6</xdr:col>
      <xdr:colOff>0</xdr:colOff>
      <xdr:row>39</xdr:row>
      <xdr:rowOff>0</xdr:rowOff>
    </xdr:from>
    <xdr:to>
      <xdr:col>8</xdr:col>
      <xdr:colOff>0</xdr:colOff>
      <xdr:row>47</xdr:row>
      <xdr:rowOff>171450</xdr:rowOff>
    </xdr:to>
    <xdr:sp macro="" textlink="">
      <xdr:nvSpPr>
        <xdr:cNvPr id="44" name="43 Rectángulo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4572000" y="7429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 a describirse como una persona muy  dinámica, activa,  enérgica, dominante y locuaz.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39</xdr:row>
      <xdr:rowOff>0</xdr:rowOff>
    </xdr:from>
    <xdr:to>
      <xdr:col>10</xdr:col>
      <xdr:colOff>0</xdr:colOff>
      <xdr:row>47</xdr:row>
      <xdr:rowOff>171450</xdr:rowOff>
    </xdr:to>
    <xdr:sp macro="" textlink="">
      <xdr:nvSpPr>
        <xdr:cNvPr id="45" name="44 Rectángulo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6096000" y="7429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ansiosa y vulnerable por lo que en ocasiones se mostrara impulsiva, impaciente e irritable ante cualquier situación complicada.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0</xdr:colOff>
      <xdr:row>38</xdr:row>
      <xdr:rowOff>171450</xdr:rowOff>
    </xdr:to>
    <xdr:sp macro="" textlink="">
      <xdr:nvSpPr>
        <xdr:cNvPr id="46" name="45 Rectángulo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7620000" y="5715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Tiende a describirse como poco culta,  poco informada, poco interesada por las  cosas y experiencias nuevas y refractarias al contacto con culturas y costumbres distintas.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12</xdr:col>
      <xdr:colOff>0</xdr:colOff>
      <xdr:row>47</xdr:row>
      <xdr:rowOff>171450</xdr:rowOff>
    </xdr:to>
    <xdr:sp macro="" textlink="">
      <xdr:nvSpPr>
        <xdr:cNvPr id="47" name="46 Rectángulo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7620000" y="7429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Es un apersona sin mayor interés a innovarse o conocer cosas nuevas ya sean culturales o de otro índole.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30</xdr:row>
      <xdr:rowOff>0</xdr:rowOff>
    </xdr:from>
    <xdr:to>
      <xdr:col>14</xdr:col>
      <xdr:colOff>0</xdr:colOff>
      <xdr:row>38</xdr:row>
      <xdr:rowOff>171450</xdr:rowOff>
    </xdr:to>
    <xdr:sp macro="" textlink="">
      <xdr:nvSpPr>
        <xdr:cNvPr id="48" name="47 Rectángulo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9144000" y="5715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Identifica la  persona que  probable­ mente presenta un cierto  sesgo  negativo  en sus  respuestas, que es  autocrítica o que  ha manifestado, en realidad, algunos  comportamientos de tipo poco social.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39</xdr:row>
      <xdr:rowOff>0</xdr:rowOff>
    </xdr:from>
    <xdr:to>
      <xdr:col>14</xdr:col>
      <xdr:colOff>0</xdr:colOff>
      <xdr:row>47</xdr:row>
      <xdr:rowOff>171450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9144000" y="7429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Identifica la  persona que  proporciona un  perfil  probablemente falseado en sentido negativo,  es decir aquella que ofrece de sí misma una imagen negativa</a:t>
          </a:r>
          <a:endParaRPr lang="es-ES" sz="1100"/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2</xdr:col>
      <xdr:colOff>0</xdr:colOff>
      <xdr:row>39</xdr:row>
      <xdr:rowOff>19050</xdr:rowOff>
    </xdr:to>
    <xdr:sp macro="" textlink="">
      <xdr:nvSpPr>
        <xdr:cNvPr id="50" name="49 Rectángulo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762000" y="5715000"/>
          <a:ext cx="762000" cy="1733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36-44</a:t>
          </a:r>
        </a:p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Bajo</a:t>
          </a:r>
          <a:endParaRPr lang="es-ES" sz="1100"/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47</xdr:row>
      <xdr:rowOff>171450</xdr:rowOff>
    </xdr:to>
    <xdr:sp macro="" textlink="">
      <xdr:nvSpPr>
        <xdr:cNvPr id="52" name="51 Rectángulo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762000" y="7429500"/>
          <a:ext cx="762000" cy="1695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25-34</a:t>
          </a:r>
        </a:p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Muy Bajo</a:t>
          </a:r>
          <a:endParaRPr lang="es-ES" sz="1100"/>
        </a:p>
      </xdr:txBody>
    </xdr:sp>
    <xdr:clientData/>
  </xdr:twoCellAnchor>
  <xdr:twoCellAnchor>
    <xdr:from>
      <xdr:col>0</xdr:col>
      <xdr:colOff>761999</xdr:colOff>
      <xdr:row>53</xdr:row>
      <xdr:rowOff>0</xdr:rowOff>
    </xdr:from>
    <xdr:to>
      <xdr:col>1</xdr:col>
      <xdr:colOff>752474</xdr:colOff>
      <xdr:row>54</xdr:row>
      <xdr:rowOff>180975</xdr:rowOff>
    </xdr:to>
    <xdr:sp macro="" textlink="">
      <xdr:nvSpPr>
        <xdr:cNvPr id="51" name="50 Rectángulo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761999" y="190500"/>
          <a:ext cx="752475" cy="3714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Rango</a:t>
          </a:r>
        </a:p>
      </xdr:txBody>
    </xdr:sp>
    <xdr:clientData/>
  </xdr:twoCellAnchor>
  <xdr:twoCellAnchor>
    <xdr:from>
      <xdr:col>2</xdr:col>
      <xdr:colOff>9525</xdr:colOff>
      <xdr:row>53</xdr:row>
      <xdr:rowOff>0</xdr:rowOff>
    </xdr:from>
    <xdr:to>
      <xdr:col>4</xdr:col>
      <xdr:colOff>0</xdr:colOff>
      <xdr:row>55</xdr:row>
      <xdr:rowOff>57150</xdr:rowOff>
    </xdr:to>
    <xdr:sp macro="" textlink="">
      <xdr:nvSpPr>
        <xdr:cNvPr id="53" name="52 Rectángulo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1533525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Di</a:t>
          </a:r>
          <a:endParaRPr lang="es-ES" sz="1100"/>
        </a:p>
      </xdr:txBody>
    </xdr:sp>
    <xdr:clientData/>
  </xdr:twoCellAnchor>
  <xdr:twoCellAnchor>
    <xdr:from>
      <xdr:col>4</xdr:col>
      <xdr:colOff>0</xdr:colOff>
      <xdr:row>53</xdr:row>
      <xdr:rowOff>0</xdr:rowOff>
    </xdr:from>
    <xdr:to>
      <xdr:col>5</xdr:col>
      <xdr:colOff>752475</xdr:colOff>
      <xdr:row>55</xdr:row>
      <xdr:rowOff>57150</xdr:rowOff>
    </xdr:to>
    <xdr:sp macro="" textlink="">
      <xdr:nvSpPr>
        <xdr:cNvPr id="54" name="53 Rectángulo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3048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Do</a:t>
          </a:r>
          <a:endParaRPr lang="es-ES" sz="1100"/>
        </a:p>
      </xdr:txBody>
    </xdr:sp>
    <xdr:clientData/>
  </xdr:twoCellAnchor>
  <xdr:twoCellAnchor>
    <xdr:from>
      <xdr:col>6</xdr:col>
      <xdr:colOff>0</xdr:colOff>
      <xdr:row>53</xdr:row>
      <xdr:rowOff>0</xdr:rowOff>
    </xdr:from>
    <xdr:to>
      <xdr:col>7</xdr:col>
      <xdr:colOff>752475</xdr:colOff>
      <xdr:row>55</xdr:row>
      <xdr:rowOff>57150</xdr:rowOff>
    </xdr:to>
    <xdr:sp macro="" textlink="">
      <xdr:nvSpPr>
        <xdr:cNvPr id="55" name="54 Rectángulo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572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</a:t>
          </a:r>
          <a:r>
            <a:rPr lang="es-ES" sz="1100" baseline="0"/>
            <a:t> Cp</a:t>
          </a:r>
          <a:endParaRPr lang="es-ES" sz="1100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9</xdr:col>
      <xdr:colOff>752475</xdr:colOff>
      <xdr:row>55</xdr:row>
      <xdr:rowOff>57150</xdr:rowOff>
    </xdr:to>
    <xdr:sp macro="" textlink="">
      <xdr:nvSpPr>
        <xdr:cNvPr id="56" name="55 Rectángulo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6096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Co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53</xdr:row>
      <xdr:rowOff>0</xdr:rowOff>
    </xdr:from>
    <xdr:to>
      <xdr:col>11</xdr:col>
      <xdr:colOff>752475</xdr:colOff>
      <xdr:row>55</xdr:row>
      <xdr:rowOff>57150</xdr:rowOff>
    </xdr:to>
    <xdr:sp macro="" textlink="">
      <xdr:nvSpPr>
        <xdr:cNvPr id="57" name="56 Rectángulo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7620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</a:t>
          </a:r>
          <a:r>
            <a:rPr lang="es-ES" sz="1100" baseline="0"/>
            <a:t> Es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53</xdr:row>
      <xdr:rowOff>0</xdr:rowOff>
    </xdr:from>
    <xdr:to>
      <xdr:col>13</xdr:col>
      <xdr:colOff>752475</xdr:colOff>
      <xdr:row>55</xdr:row>
      <xdr:rowOff>57150</xdr:rowOff>
    </xdr:to>
    <xdr:sp macro="" textlink="">
      <xdr:nvSpPr>
        <xdr:cNvPr id="58" name="57 Rectángulo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9144000" y="1905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 Pe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4</xdr:col>
      <xdr:colOff>0</xdr:colOff>
      <xdr:row>63</xdr:row>
      <xdr:rowOff>171450</xdr:rowOff>
    </xdr:to>
    <xdr:sp macro="" textlink="">
      <xdr:nvSpPr>
        <xdr:cNvPr id="59" name="58 Rectángulo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524000" y="5715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Adecuado comportamiento energico y dinamico,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el cual le facilita en la fluidez  de palabra y el entusiasmo.</a:t>
          </a: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s-E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6</xdr:col>
      <xdr:colOff>0</xdr:colOff>
      <xdr:row>64</xdr:row>
      <xdr:rowOff>0</xdr:rowOff>
    </xdr:to>
    <xdr:sp macro="" textlink="">
      <xdr:nvSpPr>
        <xdr:cNvPr id="60" name="59 Rectángulo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3048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Capacidad de imponerse, sobresalir y hacer valer  la propia influencia sobre los demas.</a:t>
          </a:r>
        </a:p>
      </xdr:txBody>
    </xdr:sp>
    <xdr:clientData/>
  </xdr:twoCellAnchor>
  <xdr:twoCellAnchor>
    <xdr:from>
      <xdr:col>6</xdr:col>
      <xdr:colOff>0</xdr:colOff>
      <xdr:row>55</xdr:row>
      <xdr:rowOff>0</xdr:rowOff>
    </xdr:from>
    <xdr:to>
      <xdr:col>8</xdr:col>
      <xdr:colOff>0</xdr:colOff>
      <xdr:row>64</xdr:row>
      <xdr:rowOff>0</xdr:rowOff>
    </xdr:to>
    <xdr:sp macro="" textlink="">
      <xdr:nvSpPr>
        <xdr:cNvPr id="61" name="60 Rectángulo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4572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Capacidad</a:t>
          </a:r>
          <a:r>
            <a:rPr lang="es-ES" sz="1100" baseline="0"/>
            <a:t> para comprender  y hacerse eco de los problemas y necesidades de los demas y asi cooperar eficazmente con ellos.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55</xdr:row>
      <xdr:rowOff>0</xdr:rowOff>
    </xdr:from>
    <xdr:to>
      <xdr:col>10</xdr:col>
      <xdr:colOff>0</xdr:colOff>
      <xdr:row>64</xdr:row>
      <xdr:rowOff>0</xdr:rowOff>
    </xdr:to>
    <xdr:sp macro="" textlink="">
      <xdr:nvSpPr>
        <xdr:cNvPr id="62" name="61 Rectángulo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6096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Afabilidad,</a:t>
          </a:r>
          <a:r>
            <a:rPr lang="es-ES" sz="1100" baseline="0"/>
            <a:t> confianza, apertura hacia los demas.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55</xdr:row>
      <xdr:rowOff>0</xdr:rowOff>
    </xdr:from>
    <xdr:to>
      <xdr:col>12</xdr:col>
      <xdr:colOff>0</xdr:colOff>
      <xdr:row>64</xdr:row>
      <xdr:rowOff>0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7620000" y="571500"/>
          <a:ext cx="1524000" cy="17145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fiabilidad, meticulosidad</a:t>
          </a:r>
          <a:r>
            <a:rPr lang="es-ES" sz="1100" baseline="0"/>
            <a:t> y amor por el orden.</a:t>
          </a:r>
          <a:endParaRPr lang="es-ES" sz="1100"/>
        </a:p>
      </xdr:txBody>
    </xdr:sp>
    <xdr:clientData/>
  </xdr:twoCellAnchor>
  <xdr:twoCellAnchor>
    <xdr:from>
      <xdr:col>12</xdr:col>
      <xdr:colOff>0</xdr:colOff>
      <xdr:row>54</xdr:row>
      <xdr:rowOff>190499</xdr:rowOff>
    </xdr:from>
    <xdr:to>
      <xdr:col>14</xdr:col>
      <xdr:colOff>0</xdr:colOff>
      <xdr:row>63</xdr:row>
      <xdr:rowOff>180974</xdr:rowOff>
    </xdr:to>
    <xdr:sp macro="" textlink="">
      <xdr:nvSpPr>
        <xdr:cNvPr id="64" name="63 Rectángulo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9144000" y="571499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Persistencia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y tenacidad con que se llevan a cabo las tareas y actividades emprendidas y el no faltar a lo prometido.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4</xdr:col>
      <xdr:colOff>0</xdr:colOff>
      <xdr:row>72</xdr:row>
      <xdr:rowOff>171450</xdr:rowOff>
    </xdr:to>
    <xdr:sp macro="" textlink="">
      <xdr:nvSpPr>
        <xdr:cNvPr id="65" name="64 Rectángulo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524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Poca energia y dinamismo en la realizacion de sus tareas, con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dificultad en su fluidez verbal y entusiasmo.</a:t>
          </a:r>
          <a:endParaRPr lang="es-ES" sz="1100"/>
        </a:p>
      </xdr:txBody>
    </xdr:sp>
    <xdr:clientData/>
  </xdr:twoCellAnchor>
  <xdr:twoCellAnchor>
    <xdr:from>
      <xdr:col>4</xdr:col>
      <xdr:colOff>0</xdr:colOff>
      <xdr:row>64</xdr:row>
      <xdr:rowOff>0</xdr:rowOff>
    </xdr:from>
    <xdr:to>
      <xdr:col>6</xdr:col>
      <xdr:colOff>0</xdr:colOff>
      <xdr:row>72</xdr:row>
      <xdr:rowOff>171450</xdr:rowOff>
    </xdr:to>
    <xdr:sp macro="" textlink="">
      <xdr:nvSpPr>
        <xdr:cNvPr id="66" name="65 Rectángulo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3048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Poca capacidad</a:t>
          </a:r>
          <a:r>
            <a:rPr lang="es-ES" sz="1100" baseline="0"/>
            <a:t> para imponerse y sobresalir, no siempre se interesa por hacer valer su influencia sobre los demas.</a:t>
          </a:r>
          <a:endParaRPr lang="es-ES" sz="1100"/>
        </a:p>
      </xdr:txBody>
    </xdr:sp>
    <xdr:clientData/>
  </xdr:twoCellAnchor>
  <xdr:twoCellAnchor>
    <xdr:from>
      <xdr:col>6</xdr:col>
      <xdr:colOff>0</xdr:colOff>
      <xdr:row>64</xdr:row>
      <xdr:rowOff>0</xdr:rowOff>
    </xdr:from>
    <xdr:to>
      <xdr:col>8</xdr:col>
      <xdr:colOff>0</xdr:colOff>
      <xdr:row>72</xdr:row>
      <xdr:rowOff>171450</xdr:rowOff>
    </xdr:to>
    <xdr:sp macro="" textlink="">
      <xdr:nvSpPr>
        <xdr:cNvPr id="67" name="66 Rectángulo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4572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Poca</a:t>
          </a:r>
          <a:r>
            <a:rPr lang="es-ES" sz="1100" baseline="0"/>
            <a:t> capacidad de empatia, no siempre comprendera o cooperara en problemas del entorno.</a:t>
          </a:r>
          <a:endParaRPr lang="es-ES" sz="1100"/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10</xdr:col>
      <xdr:colOff>0</xdr:colOff>
      <xdr:row>72</xdr:row>
      <xdr:rowOff>171450</xdr:rowOff>
    </xdr:to>
    <xdr:sp macro="" textlink="">
      <xdr:nvSpPr>
        <xdr:cNvPr id="68" name="67 Rectángulo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6096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En ocasiones</a:t>
          </a:r>
          <a:r>
            <a:rPr lang="es-ES" sz="1100" baseline="0"/>
            <a:t> podria mostrar desconfianza y cerrarse hacia su entorno.</a:t>
          </a:r>
          <a:endParaRPr lang="es-ES" sz="1100"/>
        </a:p>
      </xdr:txBody>
    </xdr:sp>
    <xdr:clientData/>
  </xdr:twoCellAnchor>
  <xdr:twoCellAnchor>
    <xdr:from>
      <xdr:col>10</xdr:col>
      <xdr:colOff>0</xdr:colOff>
      <xdr:row>64</xdr:row>
      <xdr:rowOff>0</xdr:rowOff>
    </xdr:from>
    <xdr:to>
      <xdr:col>12</xdr:col>
      <xdr:colOff>0</xdr:colOff>
      <xdr:row>72</xdr:row>
      <xdr:rowOff>171450</xdr:rowOff>
    </xdr:to>
    <xdr:sp macro="" textlink="">
      <xdr:nvSpPr>
        <xdr:cNvPr id="69" name="68 Rectángulo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7620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No siempre mostrara amor por el orden por lo que no es alguien meticulos para realizar su trabajo.</a:t>
          </a:r>
        </a:p>
      </xdr:txBody>
    </xdr:sp>
    <xdr:clientData/>
  </xdr:twoCellAnchor>
  <xdr:twoCellAnchor>
    <xdr:from>
      <xdr:col>12</xdr:col>
      <xdr:colOff>0</xdr:colOff>
      <xdr:row>64</xdr:row>
      <xdr:rowOff>0</xdr:rowOff>
    </xdr:from>
    <xdr:to>
      <xdr:col>14</xdr:col>
      <xdr:colOff>0</xdr:colOff>
      <xdr:row>72</xdr:row>
      <xdr:rowOff>171450</xdr:rowOff>
    </xdr:to>
    <xdr:sp macro="" textlink="">
      <xdr:nvSpPr>
        <xdr:cNvPr id="70" name="69 Rectángulo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9144000" y="2286000"/>
          <a:ext cx="1524000" cy="16954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No insiste,</a:t>
          </a:r>
          <a:r>
            <a:rPr lang="es-ES" sz="1100" baseline="0"/>
            <a:t> ni es tenaz con su trabajo o actividades, por lo que en ocasiones faltara a lo prometido.</a:t>
          </a:r>
          <a:endParaRPr lang="es-ES" sz="1100"/>
        </a:p>
      </xdr:txBody>
    </xdr:sp>
    <xdr:clientData/>
  </xdr:twoCellAnchor>
  <xdr:twoCellAnchor>
    <xdr:from>
      <xdr:col>0</xdr:col>
      <xdr:colOff>752475</xdr:colOff>
      <xdr:row>55</xdr:row>
      <xdr:rowOff>0</xdr:rowOff>
    </xdr:from>
    <xdr:to>
      <xdr:col>1</xdr:col>
      <xdr:colOff>752475</xdr:colOff>
      <xdr:row>64</xdr:row>
      <xdr:rowOff>19050</xdr:rowOff>
    </xdr:to>
    <xdr:sp macro="" textlink="">
      <xdr:nvSpPr>
        <xdr:cNvPr id="71" name="70 Rectángulo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752475" y="571500"/>
          <a:ext cx="762000" cy="1733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Alto</a:t>
          </a:r>
          <a:endParaRPr lang="es-E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0</xdr:colOff>
      <xdr:row>72</xdr:row>
      <xdr:rowOff>161925</xdr:rowOff>
    </xdr:to>
    <xdr:sp macro="" textlink="">
      <xdr:nvSpPr>
        <xdr:cNvPr id="72" name="71 Rectángulo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11430000" y="2476500"/>
          <a:ext cx="762000" cy="1685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Bajo</a:t>
          </a:r>
          <a:endParaRPr lang="es-ES" sz="1100"/>
        </a:p>
      </xdr:txBody>
    </xdr:sp>
    <xdr:clientData/>
  </xdr:twoCellAnchor>
  <xdr:twoCellAnchor>
    <xdr:from>
      <xdr:col>14</xdr:col>
      <xdr:colOff>0</xdr:colOff>
      <xdr:row>53</xdr:row>
      <xdr:rowOff>0</xdr:rowOff>
    </xdr:from>
    <xdr:to>
      <xdr:col>15</xdr:col>
      <xdr:colOff>752475</xdr:colOff>
      <xdr:row>55</xdr:row>
      <xdr:rowOff>57150</xdr:rowOff>
    </xdr:to>
    <xdr:sp macro="" textlink="">
      <xdr:nvSpPr>
        <xdr:cNvPr id="73" name="72 Rectángulo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21336000" y="3810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 Ce</a:t>
          </a:r>
        </a:p>
      </xdr:txBody>
    </xdr:sp>
    <xdr:clientData/>
  </xdr:twoCellAnchor>
  <xdr:twoCellAnchor>
    <xdr:from>
      <xdr:col>16</xdr:col>
      <xdr:colOff>0</xdr:colOff>
      <xdr:row>53</xdr:row>
      <xdr:rowOff>0</xdr:rowOff>
    </xdr:from>
    <xdr:to>
      <xdr:col>17</xdr:col>
      <xdr:colOff>752475</xdr:colOff>
      <xdr:row>55</xdr:row>
      <xdr:rowOff>57150</xdr:rowOff>
    </xdr:to>
    <xdr:sp macro="" textlink="">
      <xdr:nvSpPr>
        <xdr:cNvPr id="74" name="73 Rectángulo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22860000" y="3810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 Ci</a:t>
          </a:r>
        </a:p>
      </xdr:txBody>
    </xdr:sp>
    <xdr:clientData/>
  </xdr:twoCellAnchor>
  <xdr:twoCellAnchor>
    <xdr:from>
      <xdr:col>18</xdr:col>
      <xdr:colOff>0</xdr:colOff>
      <xdr:row>53</xdr:row>
      <xdr:rowOff>0</xdr:rowOff>
    </xdr:from>
    <xdr:to>
      <xdr:col>19</xdr:col>
      <xdr:colOff>752475</xdr:colOff>
      <xdr:row>55</xdr:row>
      <xdr:rowOff>57150</xdr:rowOff>
    </xdr:to>
    <xdr:sp macro="" textlink="">
      <xdr:nvSpPr>
        <xdr:cNvPr id="75" name="74 Rectángulo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24384000" y="3810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 Ac</a:t>
          </a:r>
        </a:p>
      </xdr:txBody>
    </xdr:sp>
    <xdr:clientData/>
  </xdr:twoCellAnchor>
  <xdr:twoCellAnchor>
    <xdr:from>
      <xdr:col>20</xdr:col>
      <xdr:colOff>0</xdr:colOff>
      <xdr:row>53</xdr:row>
      <xdr:rowOff>0</xdr:rowOff>
    </xdr:from>
    <xdr:to>
      <xdr:col>21</xdr:col>
      <xdr:colOff>752475</xdr:colOff>
      <xdr:row>55</xdr:row>
      <xdr:rowOff>57150</xdr:rowOff>
    </xdr:to>
    <xdr:sp macro="" textlink="">
      <xdr:nvSpPr>
        <xdr:cNvPr id="76" name="75 Rectángulo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25908000" y="381000"/>
          <a:ext cx="1514475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Descripción Ae</a:t>
          </a:r>
        </a:p>
      </xdr:txBody>
    </xdr:sp>
    <xdr:clientData/>
  </xdr:twoCellAnchor>
  <xdr:twoCellAnchor>
    <xdr:from>
      <xdr:col>14</xdr:col>
      <xdr:colOff>0</xdr:colOff>
      <xdr:row>55</xdr:row>
      <xdr:rowOff>0</xdr:rowOff>
    </xdr:from>
    <xdr:to>
      <xdr:col>16</xdr:col>
      <xdr:colOff>0</xdr:colOff>
      <xdr:row>63</xdr:row>
      <xdr:rowOff>180975</xdr:rowOff>
    </xdr:to>
    <xdr:sp macro="" textlink="">
      <xdr:nvSpPr>
        <xdr:cNvPr id="77" name="76 Rectángulo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21336000" y="7620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Control de los estados de tensión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asociados a la experiencia emotiva.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18</xdr:col>
      <xdr:colOff>0</xdr:colOff>
      <xdr:row>63</xdr:row>
      <xdr:rowOff>180975</xdr:rowOff>
    </xdr:to>
    <xdr:sp macro="" textlink="">
      <xdr:nvSpPr>
        <xdr:cNvPr id="78" name="77 Rectángulo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22860000" y="7620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Capacidad de mantener el control de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l propio comportamiento incluso en situaciones de incomodidad, conflicto y peligro.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0</xdr:colOff>
      <xdr:row>55</xdr:row>
      <xdr:rowOff>0</xdr:rowOff>
    </xdr:from>
    <xdr:to>
      <xdr:col>20</xdr:col>
      <xdr:colOff>0</xdr:colOff>
      <xdr:row>63</xdr:row>
      <xdr:rowOff>180975</xdr:rowOff>
    </xdr:to>
    <xdr:sp macro="" textlink="">
      <xdr:nvSpPr>
        <xdr:cNvPr id="79" name="78 Rectángulo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24384000" y="7620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Interes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por mantenerse informado, interes hacia la lectura, e interes por adquirir conocimientos.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55</xdr:row>
      <xdr:rowOff>0</xdr:rowOff>
    </xdr:from>
    <xdr:to>
      <xdr:col>22</xdr:col>
      <xdr:colOff>0</xdr:colOff>
      <xdr:row>63</xdr:row>
      <xdr:rowOff>180975</xdr:rowOff>
    </xdr:to>
    <xdr:sp macro="" textlink="">
      <xdr:nvSpPr>
        <xdr:cNvPr id="80" name="79 Rectángulo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25908000" y="7620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Disposicion favorable hacia las  novedades, capacidad de considerar cada cosa desde perspectivas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diversas y a la apertura favorable hacia valores, estilos, modos de vida y culturas distintas.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64</xdr:row>
      <xdr:rowOff>0</xdr:rowOff>
    </xdr:from>
    <xdr:to>
      <xdr:col>16</xdr:col>
      <xdr:colOff>0</xdr:colOff>
      <xdr:row>72</xdr:row>
      <xdr:rowOff>180975</xdr:rowOff>
    </xdr:to>
    <xdr:sp macro="" textlink="">
      <xdr:nvSpPr>
        <xdr:cNvPr id="81" name="80 Rectángulo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21336000" y="24765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En ocasiones podria ser una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persona que se irrita con facilidad.</a:t>
          </a:r>
        </a:p>
      </xdr:txBody>
    </xdr:sp>
    <xdr:clientData/>
  </xdr:twoCellAnchor>
  <xdr:twoCellAnchor>
    <xdr:from>
      <xdr:col>16</xdr:col>
      <xdr:colOff>0</xdr:colOff>
      <xdr:row>64</xdr:row>
      <xdr:rowOff>0</xdr:rowOff>
    </xdr:from>
    <xdr:to>
      <xdr:col>18</xdr:col>
      <xdr:colOff>0</xdr:colOff>
      <xdr:row>72</xdr:row>
      <xdr:rowOff>180975</xdr:rowOff>
    </xdr:to>
    <xdr:sp macro="" textlink="">
      <xdr:nvSpPr>
        <xdr:cNvPr id="82" name="81 Rectángulo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22860000" y="24765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En ocaciones de muestra incapaz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de controlar su propio comportamiento.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0</xdr:colOff>
      <xdr:row>64</xdr:row>
      <xdr:rowOff>0</xdr:rowOff>
    </xdr:from>
    <xdr:to>
      <xdr:col>20</xdr:col>
      <xdr:colOff>0</xdr:colOff>
      <xdr:row>72</xdr:row>
      <xdr:rowOff>180975</xdr:rowOff>
    </xdr:to>
    <xdr:sp macro="" textlink="">
      <xdr:nvSpPr>
        <xdr:cNvPr id="83" name="82 Rectángulo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24384000" y="24765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No siempre mostrara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interes por informarse, la lectura o por adquirir nuevos conocimientos.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64</xdr:row>
      <xdr:rowOff>0</xdr:rowOff>
    </xdr:from>
    <xdr:to>
      <xdr:col>22</xdr:col>
      <xdr:colOff>0</xdr:colOff>
      <xdr:row>72</xdr:row>
      <xdr:rowOff>180975</xdr:rowOff>
    </xdr:to>
    <xdr:sp macro="" textlink="">
      <xdr:nvSpPr>
        <xdr:cNvPr id="84" name="83 Rectángulo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25908000" y="2476500"/>
          <a:ext cx="1524000" cy="17049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No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se interesa por cambiar su estilo o forma de trabajo, podria bloquearse ante cualquier cambio.</a:t>
          </a:r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showGridLines="0" topLeftCell="C1" workbookViewId="0">
      <selection activeCell="I16" sqref="I16"/>
    </sheetView>
  </sheetViews>
  <sheetFormatPr baseColWidth="10" defaultRowHeight="15" x14ac:dyDescent="0.25"/>
  <sheetData>
    <row r="1" spans="1:9" ht="15.75" thickBot="1" x14ac:dyDescent="0.3">
      <c r="A1" s="1" t="s">
        <v>0</v>
      </c>
      <c r="B1" s="1" t="s">
        <v>1</v>
      </c>
      <c r="D1" s="15" t="s">
        <v>2</v>
      </c>
      <c r="E1" s="16"/>
      <c r="G1" s="59" t="s">
        <v>13</v>
      </c>
      <c r="H1" s="60"/>
      <c r="I1" s="2">
        <f>D4+D9</f>
        <v>72</v>
      </c>
    </row>
    <row r="2" spans="1:9" ht="15.75" thickBot="1" x14ac:dyDescent="0.3">
      <c r="A2" s="1">
        <v>1</v>
      </c>
      <c r="B2" s="1"/>
      <c r="D2" s="17">
        <f>B2+B26+B54+B69+B95+B115</f>
        <v>0</v>
      </c>
      <c r="E2" s="18"/>
    </row>
    <row r="3" spans="1:9" ht="15.75" thickBot="1" x14ac:dyDescent="0.3">
      <c r="A3" s="1">
        <f>A2+1</f>
        <v>2</v>
      </c>
      <c r="B3" s="1"/>
      <c r="D3" s="19">
        <f>B8+B38+B52+B79+B100+B122</f>
        <v>0</v>
      </c>
      <c r="E3" s="20"/>
      <c r="G3" s="61" t="s">
        <v>14</v>
      </c>
      <c r="H3" s="62"/>
      <c r="I3" s="2">
        <f>D14+D19</f>
        <v>72</v>
      </c>
    </row>
    <row r="4" spans="1:9" ht="15.75" thickBot="1" x14ac:dyDescent="0.3">
      <c r="A4" s="1">
        <f t="shared" ref="A4:A67" si="0">A3+1</f>
        <v>3</v>
      </c>
      <c r="B4" s="1"/>
      <c r="D4" s="21">
        <f>36+(D2-D3)</f>
        <v>36</v>
      </c>
      <c r="E4" s="22"/>
    </row>
    <row r="5" spans="1:9" ht="15.75" thickBot="1" x14ac:dyDescent="0.3">
      <c r="A5" s="1">
        <f t="shared" si="0"/>
        <v>4</v>
      </c>
      <c r="B5" s="1"/>
      <c r="G5" s="63" t="s">
        <v>15</v>
      </c>
      <c r="H5" s="64"/>
      <c r="I5" s="2">
        <f>D24+D29</f>
        <v>72</v>
      </c>
    </row>
    <row r="6" spans="1:9" ht="15.75" thickBot="1" x14ac:dyDescent="0.3">
      <c r="A6" s="1">
        <f t="shared" si="0"/>
        <v>5</v>
      </c>
      <c r="B6" s="1"/>
      <c r="D6" s="23" t="s">
        <v>3</v>
      </c>
      <c r="E6" s="24"/>
    </row>
    <row r="7" spans="1:9" ht="15.75" thickBot="1" x14ac:dyDescent="0.3">
      <c r="A7" s="1">
        <f t="shared" si="0"/>
        <v>6</v>
      </c>
      <c r="B7" s="1"/>
      <c r="D7" s="19">
        <f>B14+B40+B60+B74+B103+B118</f>
        <v>0</v>
      </c>
      <c r="E7" s="20"/>
      <c r="G7" s="65" t="s">
        <v>16</v>
      </c>
      <c r="H7" s="66"/>
      <c r="I7" s="2">
        <f>D34+D39</f>
        <v>72</v>
      </c>
    </row>
    <row r="8" spans="1:9" ht="15.75" thickBot="1" x14ac:dyDescent="0.3">
      <c r="A8" s="1">
        <f t="shared" si="0"/>
        <v>7</v>
      </c>
      <c r="B8" s="1"/>
      <c r="D8" s="17">
        <f>B20+B32+B62+B72+B96+B124</f>
        <v>0</v>
      </c>
      <c r="E8" s="18"/>
    </row>
    <row r="9" spans="1:9" ht="15.75" thickBot="1" x14ac:dyDescent="0.3">
      <c r="A9" s="1">
        <f t="shared" si="0"/>
        <v>8</v>
      </c>
      <c r="B9" s="1"/>
      <c r="D9" s="23">
        <f>36+(D7-D8)</f>
        <v>36</v>
      </c>
      <c r="E9" s="24"/>
      <c r="G9" s="67" t="s">
        <v>17</v>
      </c>
      <c r="H9" s="68"/>
      <c r="I9" s="2">
        <f>D44+D49</f>
        <v>72</v>
      </c>
    </row>
    <row r="10" spans="1:9" ht="15.75" thickBot="1" x14ac:dyDescent="0.3">
      <c r="A10" s="1">
        <f t="shared" si="0"/>
        <v>9</v>
      </c>
      <c r="B10" s="1"/>
    </row>
    <row r="11" spans="1:9" ht="15.75" thickBot="1" x14ac:dyDescent="0.3">
      <c r="A11" s="1">
        <f t="shared" si="0"/>
        <v>10</v>
      </c>
      <c r="B11" s="1"/>
      <c r="D11" s="25" t="s">
        <v>4</v>
      </c>
      <c r="E11" s="26"/>
      <c r="G11" s="43" t="s">
        <v>136</v>
      </c>
      <c r="H11" s="44"/>
      <c r="I11" s="2">
        <f>D52</f>
        <v>0</v>
      </c>
    </row>
    <row r="12" spans="1:9" ht="15.75" thickBot="1" x14ac:dyDescent="0.3">
      <c r="A12" s="1">
        <f t="shared" si="0"/>
        <v>11</v>
      </c>
      <c r="B12" s="1"/>
      <c r="D12" s="17">
        <f>B11+B35+B49+B87+B110+B112</f>
        <v>0</v>
      </c>
      <c r="E12" s="18"/>
    </row>
    <row r="13" spans="1:9" ht="15.75" thickBot="1" x14ac:dyDescent="0.3">
      <c r="A13" s="1">
        <f t="shared" si="0"/>
        <v>12</v>
      </c>
      <c r="B13" s="1"/>
      <c r="D13" s="19">
        <f>B5+B29+B65+B71+B101+B131</f>
        <v>0</v>
      </c>
      <c r="E13" s="20"/>
    </row>
    <row r="14" spans="1:9" ht="15.75" thickBot="1" x14ac:dyDescent="0.3">
      <c r="A14" s="1">
        <f t="shared" si="0"/>
        <v>13</v>
      </c>
      <c r="B14" s="1"/>
      <c r="D14" s="13">
        <f>36+(D12-D13)</f>
        <v>36</v>
      </c>
      <c r="E14" s="14"/>
    </row>
    <row r="15" spans="1:9" ht="15.75" thickBot="1" x14ac:dyDescent="0.3">
      <c r="A15" s="1">
        <f t="shared" si="0"/>
        <v>14</v>
      </c>
      <c r="B15" s="1"/>
    </row>
    <row r="16" spans="1:9" ht="15.75" thickBot="1" x14ac:dyDescent="0.3">
      <c r="A16" s="1">
        <f t="shared" si="0"/>
        <v>15</v>
      </c>
      <c r="B16" s="1"/>
      <c r="D16" s="29" t="s">
        <v>5</v>
      </c>
      <c r="E16" s="30"/>
    </row>
    <row r="17" spans="1:5" ht="15.75" thickBot="1" x14ac:dyDescent="0.3">
      <c r="A17" s="1">
        <f t="shared" si="0"/>
        <v>16</v>
      </c>
      <c r="B17" s="1"/>
      <c r="D17" s="19">
        <f>B23+B45+B53+B89+B94+B127</f>
        <v>0</v>
      </c>
      <c r="E17" s="20"/>
    </row>
    <row r="18" spans="1:5" ht="15.75" thickBot="1" x14ac:dyDescent="0.3">
      <c r="A18" s="1">
        <f t="shared" si="0"/>
        <v>17</v>
      </c>
      <c r="B18" s="1"/>
      <c r="D18" s="19">
        <f>B17+B41+B66+B75+B109+B129</f>
        <v>0</v>
      </c>
      <c r="E18" s="20"/>
    </row>
    <row r="19" spans="1:5" ht="15.75" thickBot="1" x14ac:dyDescent="0.3">
      <c r="A19" s="1">
        <f t="shared" si="0"/>
        <v>18</v>
      </c>
      <c r="B19" s="1"/>
      <c r="D19" s="31">
        <f>36+(D17-D18)</f>
        <v>36</v>
      </c>
      <c r="E19" s="32"/>
    </row>
    <row r="20" spans="1:5" ht="15.75" thickBot="1" x14ac:dyDescent="0.3">
      <c r="A20" s="1">
        <f t="shared" si="0"/>
        <v>19</v>
      </c>
      <c r="B20" s="1"/>
    </row>
    <row r="21" spans="1:5" ht="15.75" thickBot="1" x14ac:dyDescent="0.3">
      <c r="A21" s="1">
        <f t="shared" si="0"/>
        <v>20</v>
      </c>
      <c r="B21" s="1"/>
      <c r="D21" s="33" t="s">
        <v>6</v>
      </c>
      <c r="E21" s="34"/>
    </row>
    <row r="22" spans="1:5" ht="15.75" thickBot="1" x14ac:dyDescent="0.3">
      <c r="A22" s="1">
        <f t="shared" si="0"/>
        <v>21</v>
      </c>
      <c r="B22" s="1"/>
      <c r="D22" s="19">
        <f>B9+B27+B58+B80+B107+B130</f>
        <v>0</v>
      </c>
      <c r="E22" s="20"/>
    </row>
    <row r="23" spans="1:5" ht="15.75" thickBot="1" x14ac:dyDescent="0.3">
      <c r="A23" s="1">
        <f t="shared" si="0"/>
        <v>22</v>
      </c>
      <c r="B23" s="1"/>
      <c r="D23" s="19">
        <f>B3+B33+B67+B83+B111+B133</f>
        <v>0</v>
      </c>
      <c r="E23" s="20"/>
    </row>
    <row r="24" spans="1:5" ht="15.75" thickBot="1" x14ac:dyDescent="0.3">
      <c r="A24" s="1">
        <f t="shared" si="0"/>
        <v>23</v>
      </c>
      <c r="B24" s="1"/>
      <c r="D24" s="55">
        <f>36+(D22-D23)</f>
        <v>36</v>
      </c>
      <c r="E24" s="56"/>
    </row>
    <row r="25" spans="1:5" ht="15.75" thickBot="1" x14ac:dyDescent="0.3">
      <c r="A25" s="1">
        <f t="shared" si="0"/>
        <v>24</v>
      </c>
      <c r="B25" s="1"/>
    </row>
    <row r="26" spans="1:5" ht="15.75" thickBot="1" x14ac:dyDescent="0.3">
      <c r="A26" s="1">
        <f t="shared" si="0"/>
        <v>25</v>
      </c>
      <c r="B26" s="1"/>
      <c r="D26" s="57" t="s">
        <v>7</v>
      </c>
      <c r="E26" s="58"/>
    </row>
    <row r="27" spans="1:5" ht="15.75" thickBot="1" x14ac:dyDescent="0.3">
      <c r="A27" s="1">
        <f t="shared" si="0"/>
        <v>26</v>
      </c>
      <c r="B27" s="1"/>
      <c r="D27" s="19">
        <f>B21+B47+B50+B76+B97+B116</f>
        <v>0</v>
      </c>
      <c r="E27" s="20"/>
    </row>
    <row r="28" spans="1:5" ht="15.75" thickBot="1" x14ac:dyDescent="0.3">
      <c r="A28" s="1">
        <f t="shared" si="0"/>
        <v>27</v>
      </c>
      <c r="B28" s="1"/>
      <c r="D28" s="19">
        <f>B15+B39+B55+B86+B108+B126</f>
        <v>0</v>
      </c>
      <c r="E28" s="20"/>
    </row>
    <row r="29" spans="1:5" ht="15.75" thickBot="1" x14ac:dyDescent="0.3">
      <c r="A29" s="1">
        <f t="shared" si="0"/>
        <v>28</v>
      </c>
      <c r="B29" s="1"/>
      <c r="D29" s="27">
        <f>36+(D27-D28)</f>
        <v>36</v>
      </c>
      <c r="E29" s="28"/>
    </row>
    <row r="30" spans="1:5" ht="15.75" thickBot="1" x14ac:dyDescent="0.3">
      <c r="A30" s="1">
        <f t="shared" si="0"/>
        <v>29</v>
      </c>
      <c r="B30" s="1"/>
    </row>
    <row r="31" spans="1:5" ht="15.75" thickBot="1" x14ac:dyDescent="0.3">
      <c r="A31" s="1">
        <f t="shared" si="0"/>
        <v>30</v>
      </c>
      <c r="B31" s="1"/>
      <c r="D31" s="49" t="s">
        <v>8</v>
      </c>
      <c r="E31" s="50"/>
    </row>
    <row r="32" spans="1:5" ht="15.75" thickBot="1" x14ac:dyDescent="0.3">
      <c r="A32" s="1">
        <f t="shared" si="0"/>
        <v>31</v>
      </c>
      <c r="B32" s="1"/>
      <c r="D32" s="19">
        <f>B10+B28+B51+B82+B90+B123</f>
        <v>0</v>
      </c>
      <c r="E32" s="20"/>
    </row>
    <row r="33" spans="1:5" ht="15.75" thickBot="1" x14ac:dyDescent="0.3">
      <c r="A33" s="1">
        <f t="shared" si="0"/>
        <v>32</v>
      </c>
      <c r="B33" s="1"/>
      <c r="D33" s="19">
        <f>B4+B34+B63+B70+B99+B121</f>
        <v>0</v>
      </c>
      <c r="E33" s="20"/>
    </row>
    <row r="34" spans="1:5" ht="15.75" thickBot="1" x14ac:dyDescent="0.3">
      <c r="A34" s="1">
        <f t="shared" si="0"/>
        <v>33</v>
      </c>
      <c r="B34" s="1"/>
      <c r="D34" s="51">
        <f>36+(D32-D33)</f>
        <v>36</v>
      </c>
      <c r="E34" s="52"/>
    </row>
    <row r="35" spans="1:5" ht="15.75" thickBot="1" x14ac:dyDescent="0.3">
      <c r="A35" s="1">
        <f t="shared" si="0"/>
        <v>34</v>
      </c>
      <c r="B35" s="1"/>
    </row>
    <row r="36" spans="1:5" ht="15.75" thickBot="1" x14ac:dyDescent="0.3">
      <c r="A36" s="1">
        <f t="shared" si="0"/>
        <v>35</v>
      </c>
      <c r="B36" s="1"/>
      <c r="D36" s="53" t="s">
        <v>9</v>
      </c>
      <c r="E36" s="54"/>
    </row>
    <row r="37" spans="1:5" ht="15.75" thickBot="1" x14ac:dyDescent="0.3">
      <c r="A37" s="1">
        <f t="shared" si="0"/>
        <v>36</v>
      </c>
      <c r="B37" s="1"/>
      <c r="D37" s="17">
        <f>B22+B44+B59+B77+B92+B120</f>
        <v>0</v>
      </c>
      <c r="E37" s="18"/>
    </row>
    <row r="38" spans="1:5" ht="15.75" thickBot="1" x14ac:dyDescent="0.3">
      <c r="A38" s="1">
        <f t="shared" si="0"/>
        <v>37</v>
      </c>
      <c r="B38" s="1"/>
      <c r="D38" s="19">
        <f>B16+B46+B64+B84+B105+B117</f>
        <v>0</v>
      </c>
      <c r="E38" s="20"/>
    </row>
    <row r="39" spans="1:5" ht="15.75" thickBot="1" x14ac:dyDescent="0.3">
      <c r="A39" s="1">
        <f t="shared" si="0"/>
        <v>38</v>
      </c>
      <c r="B39" s="1"/>
      <c r="D39" s="37">
        <f>36+(D37-D38)</f>
        <v>36</v>
      </c>
      <c r="E39" s="38"/>
    </row>
    <row r="40" spans="1:5" ht="15.75" thickBot="1" x14ac:dyDescent="0.3">
      <c r="A40" s="1">
        <f t="shared" si="0"/>
        <v>39</v>
      </c>
      <c r="B40" s="1"/>
    </row>
    <row r="41" spans="1:5" ht="15.75" thickBot="1" x14ac:dyDescent="0.3">
      <c r="A41" s="1">
        <f t="shared" si="0"/>
        <v>40</v>
      </c>
      <c r="B41" s="1"/>
      <c r="D41" s="39" t="s">
        <v>10</v>
      </c>
      <c r="E41" s="40"/>
    </row>
    <row r="42" spans="1:5" ht="15.75" thickBot="1" x14ac:dyDescent="0.3">
      <c r="A42" s="1">
        <f t="shared" si="0"/>
        <v>41</v>
      </c>
      <c r="B42" s="1"/>
      <c r="D42" s="17">
        <f>B6+B30+B61+B88+B106+B113</f>
        <v>0</v>
      </c>
      <c r="E42" s="18"/>
    </row>
    <row r="43" spans="1:5" ht="15.75" thickBot="1" x14ac:dyDescent="0.3">
      <c r="A43" s="1">
        <f t="shared" si="0"/>
        <v>42</v>
      </c>
      <c r="B43" s="1"/>
      <c r="D43" s="19">
        <f>B12+B43+B56+B78+B91+B125</f>
        <v>0</v>
      </c>
      <c r="E43" s="20"/>
    </row>
    <row r="44" spans="1:5" ht="15.75" thickBot="1" x14ac:dyDescent="0.3">
      <c r="A44" s="1">
        <f t="shared" si="0"/>
        <v>43</v>
      </c>
      <c r="B44" s="1"/>
      <c r="D44" s="41">
        <f>36+(D42-D43)</f>
        <v>36</v>
      </c>
      <c r="E44" s="42"/>
    </row>
    <row r="45" spans="1:5" ht="15.75" thickBot="1" x14ac:dyDescent="0.3">
      <c r="A45" s="1">
        <f t="shared" si="0"/>
        <v>44</v>
      </c>
      <c r="B45" s="1"/>
    </row>
    <row r="46" spans="1:5" ht="15.75" thickBot="1" x14ac:dyDescent="0.3">
      <c r="A46" s="1">
        <f t="shared" si="0"/>
        <v>45</v>
      </c>
      <c r="B46" s="1"/>
      <c r="D46" s="45" t="s">
        <v>11</v>
      </c>
      <c r="E46" s="46"/>
    </row>
    <row r="47" spans="1:5" ht="15.75" thickBot="1" x14ac:dyDescent="0.3">
      <c r="A47" s="1">
        <f t="shared" si="0"/>
        <v>46</v>
      </c>
      <c r="B47" s="1"/>
      <c r="D47" s="17">
        <f>B24+B42+B57+B73+B98+B119</f>
        <v>0</v>
      </c>
      <c r="E47" s="18"/>
    </row>
    <row r="48" spans="1:5" ht="15.75" thickBot="1" x14ac:dyDescent="0.3">
      <c r="A48" s="1">
        <f t="shared" si="0"/>
        <v>47</v>
      </c>
      <c r="B48" s="1"/>
      <c r="D48" s="19">
        <f>B18+B36+B48+B68+B104+B132</f>
        <v>0</v>
      </c>
      <c r="E48" s="20"/>
    </row>
    <row r="49" spans="1:5" ht="15.75" thickBot="1" x14ac:dyDescent="0.3">
      <c r="A49" s="1">
        <f t="shared" si="0"/>
        <v>48</v>
      </c>
      <c r="B49" s="1"/>
      <c r="D49" s="47">
        <f>36+(D47-D48)</f>
        <v>36</v>
      </c>
      <c r="E49" s="48"/>
    </row>
    <row r="50" spans="1:5" ht="15.75" thickBot="1" x14ac:dyDescent="0.3">
      <c r="A50" s="1">
        <f t="shared" si="0"/>
        <v>49</v>
      </c>
      <c r="B50" s="1"/>
    </row>
    <row r="51" spans="1:5" ht="15.75" thickBot="1" x14ac:dyDescent="0.3">
      <c r="A51" s="1">
        <f t="shared" si="0"/>
        <v>50</v>
      </c>
      <c r="B51" s="1"/>
      <c r="D51" s="35" t="s">
        <v>12</v>
      </c>
      <c r="E51" s="36"/>
    </row>
    <row r="52" spans="1:5" ht="15.75" thickBot="1" x14ac:dyDescent="0.3">
      <c r="A52" s="1">
        <f t="shared" si="0"/>
        <v>51</v>
      </c>
      <c r="B52" s="1"/>
      <c r="D52" s="19">
        <f>B7+B13+B19+B25+B31+B37+B81+B85+B93+B102+B114+B128</f>
        <v>0</v>
      </c>
      <c r="E52" s="20"/>
    </row>
    <row r="53" spans="1:5" x14ac:dyDescent="0.25">
      <c r="A53" s="1">
        <f t="shared" si="0"/>
        <v>52</v>
      </c>
      <c r="B53" s="1"/>
    </row>
    <row r="54" spans="1:5" x14ac:dyDescent="0.25">
      <c r="A54" s="1">
        <f t="shared" si="0"/>
        <v>53</v>
      </c>
      <c r="B54" s="1"/>
    </row>
    <row r="55" spans="1:5" x14ac:dyDescent="0.25">
      <c r="A55" s="1">
        <f t="shared" si="0"/>
        <v>54</v>
      </c>
      <c r="B55" s="1"/>
    </row>
    <row r="56" spans="1:5" x14ac:dyDescent="0.25">
      <c r="A56" s="1">
        <f t="shared" si="0"/>
        <v>55</v>
      </c>
      <c r="B56" s="1"/>
    </row>
    <row r="57" spans="1:5" x14ac:dyDescent="0.25">
      <c r="A57" s="1">
        <f t="shared" si="0"/>
        <v>56</v>
      </c>
      <c r="B57" s="1"/>
    </row>
    <row r="58" spans="1:5" x14ac:dyDescent="0.25">
      <c r="A58" s="1">
        <f t="shared" si="0"/>
        <v>57</v>
      </c>
      <c r="B58" s="1"/>
    </row>
    <row r="59" spans="1:5" x14ac:dyDescent="0.25">
      <c r="A59" s="1">
        <f t="shared" si="0"/>
        <v>58</v>
      </c>
      <c r="B59" s="1"/>
    </row>
    <row r="60" spans="1:5" x14ac:dyDescent="0.25">
      <c r="A60" s="1">
        <f t="shared" si="0"/>
        <v>59</v>
      </c>
      <c r="B60" s="1"/>
    </row>
    <row r="61" spans="1:5" x14ac:dyDescent="0.25">
      <c r="A61" s="1">
        <f t="shared" si="0"/>
        <v>60</v>
      </c>
      <c r="B61" s="1"/>
    </row>
    <row r="62" spans="1:5" x14ac:dyDescent="0.25">
      <c r="A62" s="1">
        <f t="shared" si="0"/>
        <v>61</v>
      </c>
      <c r="B62" s="1"/>
    </row>
    <row r="63" spans="1:5" x14ac:dyDescent="0.25">
      <c r="A63" s="1">
        <f t="shared" si="0"/>
        <v>62</v>
      </c>
      <c r="B63" s="1"/>
    </row>
    <row r="64" spans="1:5" x14ac:dyDescent="0.25">
      <c r="A64" s="1">
        <f t="shared" si="0"/>
        <v>63</v>
      </c>
      <c r="B64" s="1"/>
    </row>
    <row r="65" spans="1:2" x14ac:dyDescent="0.25">
      <c r="A65" s="1">
        <f t="shared" si="0"/>
        <v>64</v>
      </c>
      <c r="B65" s="1"/>
    </row>
    <row r="66" spans="1:2" x14ac:dyDescent="0.25">
      <c r="A66" s="1">
        <f t="shared" si="0"/>
        <v>65</v>
      </c>
      <c r="B66" s="1"/>
    </row>
    <row r="67" spans="1:2" x14ac:dyDescent="0.25">
      <c r="A67" s="1">
        <f t="shared" si="0"/>
        <v>66</v>
      </c>
      <c r="B67" s="1"/>
    </row>
    <row r="68" spans="1:2" x14ac:dyDescent="0.25">
      <c r="A68" s="1">
        <f t="shared" ref="A68:A114" si="1">A67+1</f>
        <v>67</v>
      </c>
      <c r="B68" s="1"/>
    </row>
    <row r="69" spans="1:2" x14ac:dyDescent="0.25">
      <c r="A69" s="1">
        <f t="shared" si="1"/>
        <v>68</v>
      </c>
      <c r="B69" s="1"/>
    </row>
    <row r="70" spans="1:2" x14ac:dyDescent="0.25">
      <c r="A70" s="1">
        <f t="shared" si="1"/>
        <v>69</v>
      </c>
      <c r="B70" s="1"/>
    </row>
    <row r="71" spans="1:2" x14ac:dyDescent="0.25">
      <c r="A71" s="1">
        <f t="shared" si="1"/>
        <v>70</v>
      </c>
      <c r="B71" s="1"/>
    </row>
    <row r="72" spans="1:2" x14ac:dyDescent="0.25">
      <c r="A72" s="1">
        <f t="shared" si="1"/>
        <v>71</v>
      </c>
      <c r="B72" s="1"/>
    </row>
    <row r="73" spans="1:2" x14ac:dyDescent="0.25">
      <c r="A73" s="1">
        <f t="shared" si="1"/>
        <v>72</v>
      </c>
      <c r="B73" s="1"/>
    </row>
    <row r="74" spans="1:2" x14ac:dyDescent="0.25">
      <c r="A74" s="1">
        <f t="shared" si="1"/>
        <v>73</v>
      </c>
      <c r="B74" s="1"/>
    </row>
    <row r="75" spans="1:2" x14ac:dyDescent="0.25">
      <c r="A75" s="1">
        <f t="shared" si="1"/>
        <v>74</v>
      </c>
      <c r="B75" s="1"/>
    </row>
    <row r="76" spans="1:2" x14ac:dyDescent="0.25">
      <c r="A76" s="1">
        <f t="shared" si="1"/>
        <v>75</v>
      </c>
      <c r="B76" s="1"/>
    </row>
    <row r="77" spans="1:2" x14ac:dyDescent="0.25">
      <c r="A77" s="1">
        <f t="shared" si="1"/>
        <v>76</v>
      </c>
      <c r="B77" s="1"/>
    </row>
    <row r="78" spans="1:2" x14ac:dyDescent="0.25">
      <c r="A78" s="1">
        <f t="shared" si="1"/>
        <v>77</v>
      </c>
      <c r="B78" s="1"/>
    </row>
    <row r="79" spans="1:2" x14ac:dyDescent="0.25">
      <c r="A79" s="1">
        <f t="shared" si="1"/>
        <v>78</v>
      </c>
      <c r="B79" s="1"/>
    </row>
    <row r="80" spans="1:2" x14ac:dyDescent="0.25">
      <c r="A80" s="1">
        <f t="shared" si="1"/>
        <v>79</v>
      </c>
      <c r="B80" s="1"/>
    </row>
    <row r="81" spans="1:2" x14ac:dyDescent="0.25">
      <c r="A81" s="1">
        <f t="shared" si="1"/>
        <v>80</v>
      </c>
      <c r="B81" s="1"/>
    </row>
    <row r="82" spans="1:2" x14ac:dyDescent="0.25">
      <c r="A82" s="1">
        <f t="shared" si="1"/>
        <v>81</v>
      </c>
      <c r="B82" s="1"/>
    </row>
    <row r="83" spans="1:2" x14ac:dyDescent="0.25">
      <c r="A83" s="1">
        <f t="shared" si="1"/>
        <v>82</v>
      </c>
      <c r="B83" s="1"/>
    </row>
    <row r="84" spans="1:2" x14ac:dyDescent="0.25">
      <c r="A84" s="1">
        <f t="shared" si="1"/>
        <v>83</v>
      </c>
      <c r="B84" s="1"/>
    </row>
    <row r="85" spans="1:2" x14ac:dyDescent="0.25">
      <c r="A85" s="1">
        <f t="shared" si="1"/>
        <v>84</v>
      </c>
      <c r="B85" s="1"/>
    </row>
    <row r="86" spans="1:2" x14ac:dyDescent="0.25">
      <c r="A86" s="1">
        <f t="shared" si="1"/>
        <v>85</v>
      </c>
      <c r="B86" s="1"/>
    </row>
    <row r="87" spans="1:2" x14ac:dyDescent="0.25">
      <c r="A87" s="1">
        <f t="shared" si="1"/>
        <v>86</v>
      </c>
      <c r="B87" s="1"/>
    </row>
    <row r="88" spans="1:2" x14ac:dyDescent="0.25">
      <c r="A88" s="1">
        <f t="shared" si="1"/>
        <v>87</v>
      </c>
      <c r="B88" s="1"/>
    </row>
    <row r="89" spans="1:2" x14ac:dyDescent="0.25">
      <c r="A89" s="1">
        <f t="shared" si="1"/>
        <v>88</v>
      </c>
      <c r="B89" s="1"/>
    </row>
    <row r="90" spans="1:2" x14ac:dyDescent="0.25">
      <c r="A90" s="1">
        <f t="shared" si="1"/>
        <v>89</v>
      </c>
      <c r="B90" s="1"/>
    </row>
    <row r="91" spans="1:2" x14ac:dyDescent="0.25">
      <c r="A91" s="1">
        <f t="shared" si="1"/>
        <v>90</v>
      </c>
      <c r="B91" s="1"/>
    </row>
    <row r="92" spans="1:2" x14ac:dyDescent="0.25">
      <c r="A92" s="1">
        <f t="shared" si="1"/>
        <v>91</v>
      </c>
      <c r="B92" s="1"/>
    </row>
    <row r="93" spans="1:2" x14ac:dyDescent="0.25">
      <c r="A93" s="1">
        <f t="shared" si="1"/>
        <v>92</v>
      </c>
      <c r="B93" s="1"/>
    </row>
    <row r="94" spans="1:2" x14ac:dyDescent="0.25">
      <c r="A94" s="1">
        <f t="shared" si="1"/>
        <v>93</v>
      </c>
      <c r="B94" s="1"/>
    </row>
    <row r="95" spans="1:2" x14ac:dyDescent="0.25">
      <c r="A95" s="1">
        <f t="shared" si="1"/>
        <v>94</v>
      </c>
      <c r="B95" s="1"/>
    </row>
    <row r="96" spans="1:2" x14ac:dyDescent="0.25">
      <c r="A96" s="1">
        <f t="shared" si="1"/>
        <v>95</v>
      </c>
      <c r="B96" s="1"/>
    </row>
    <row r="97" spans="1:2" x14ac:dyDescent="0.25">
      <c r="A97" s="1">
        <f t="shared" si="1"/>
        <v>96</v>
      </c>
      <c r="B97" s="1"/>
    </row>
    <row r="98" spans="1:2" x14ac:dyDescent="0.25">
      <c r="A98" s="1">
        <f t="shared" si="1"/>
        <v>97</v>
      </c>
      <c r="B98" s="1"/>
    </row>
    <row r="99" spans="1:2" x14ac:dyDescent="0.25">
      <c r="A99" s="1">
        <f t="shared" si="1"/>
        <v>98</v>
      </c>
      <c r="B99" s="1"/>
    </row>
    <row r="100" spans="1:2" x14ac:dyDescent="0.25">
      <c r="A100" s="1">
        <f t="shared" si="1"/>
        <v>99</v>
      </c>
      <c r="B100" s="1"/>
    </row>
    <row r="101" spans="1:2" x14ac:dyDescent="0.25">
      <c r="A101" s="1">
        <f t="shared" si="1"/>
        <v>100</v>
      </c>
      <c r="B101" s="1"/>
    </row>
    <row r="102" spans="1:2" x14ac:dyDescent="0.25">
      <c r="A102" s="1">
        <f t="shared" si="1"/>
        <v>101</v>
      </c>
      <c r="B102" s="1"/>
    </row>
    <row r="103" spans="1:2" x14ac:dyDescent="0.25">
      <c r="A103" s="1">
        <f t="shared" si="1"/>
        <v>102</v>
      </c>
      <c r="B103" s="1"/>
    </row>
    <row r="104" spans="1:2" x14ac:dyDescent="0.25">
      <c r="A104" s="1">
        <f t="shared" si="1"/>
        <v>103</v>
      </c>
      <c r="B104" s="1"/>
    </row>
    <row r="105" spans="1:2" x14ac:dyDescent="0.25">
      <c r="A105" s="1">
        <f t="shared" si="1"/>
        <v>104</v>
      </c>
      <c r="B105" s="1"/>
    </row>
    <row r="106" spans="1:2" x14ac:dyDescent="0.25">
      <c r="A106" s="1">
        <f t="shared" si="1"/>
        <v>105</v>
      </c>
      <c r="B106" s="1"/>
    </row>
    <row r="107" spans="1:2" x14ac:dyDescent="0.25">
      <c r="A107" s="1">
        <f t="shared" si="1"/>
        <v>106</v>
      </c>
      <c r="B107" s="1"/>
    </row>
    <row r="108" spans="1:2" x14ac:dyDescent="0.25">
      <c r="A108" s="1">
        <f t="shared" si="1"/>
        <v>107</v>
      </c>
      <c r="B108" s="1"/>
    </row>
    <row r="109" spans="1:2" x14ac:dyDescent="0.25">
      <c r="A109" s="1">
        <f t="shared" si="1"/>
        <v>108</v>
      </c>
      <c r="B109" s="1"/>
    </row>
    <row r="110" spans="1:2" x14ac:dyDescent="0.25">
      <c r="A110" s="1">
        <f t="shared" si="1"/>
        <v>109</v>
      </c>
      <c r="B110" s="1"/>
    </row>
    <row r="111" spans="1:2" x14ac:dyDescent="0.25">
      <c r="A111" s="1">
        <f t="shared" si="1"/>
        <v>110</v>
      </c>
      <c r="B111" s="1"/>
    </row>
    <row r="112" spans="1:2" x14ac:dyDescent="0.25">
      <c r="A112" s="1">
        <f t="shared" si="1"/>
        <v>111</v>
      </c>
      <c r="B112" s="1"/>
    </row>
    <row r="113" spans="1:2" x14ac:dyDescent="0.25">
      <c r="A113" s="1">
        <f t="shared" si="1"/>
        <v>112</v>
      </c>
      <c r="B113" s="1"/>
    </row>
    <row r="114" spans="1:2" x14ac:dyDescent="0.25">
      <c r="A114" s="1">
        <f t="shared" si="1"/>
        <v>113</v>
      </c>
      <c r="B114" s="1"/>
    </row>
    <row r="115" spans="1:2" x14ac:dyDescent="0.25">
      <c r="A115" s="1">
        <f>A114+1</f>
        <v>114</v>
      </c>
      <c r="B115" s="1"/>
    </row>
    <row r="116" spans="1:2" x14ac:dyDescent="0.25">
      <c r="A116" s="1">
        <f t="shared" ref="A116:A120" si="2">A115+1</f>
        <v>115</v>
      </c>
      <c r="B116" s="1"/>
    </row>
    <row r="117" spans="1:2" x14ac:dyDescent="0.25">
      <c r="A117" s="1">
        <f t="shared" si="2"/>
        <v>116</v>
      </c>
      <c r="B117" s="1"/>
    </row>
    <row r="118" spans="1:2" x14ac:dyDescent="0.25">
      <c r="A118" s="1">
        <f t="shared" si="2"/>
        <v>117</v>
      </c>
      <c r="B118" s="1"/>
    </row>
    <row r="119" spans="1:2" x14ac:dyDescent="0.25">
      <c r="A119" s="1">
        <f t="shared" si="2"/>
        <v>118</v>
      </c>
      <c r="B119" s="1"/>
    </row>
    <row r="120" spans="1:2" x14ac:dyDescent="0.25">
      <c r="A120" s="1">
        <f t="shared" si="2"/>
        <v>119</v>
      </c>
      <c r="B120" s="1"/>
    </row>
    <row r="121" spans="1:2" x14ac:dyDescent="0.25">
      <c r="A121" s="1">
        <f>A120+1</f>
        <v>120</v>
      </c>
      <c r="B121" s="1"/>
    </row>
    <row r="122" spans="1:2" x14ac:dyDescent="0.25">
      <c r="A122" s="1">
        <f t="shared" ref="A122:A125" si="3">A121+1</f>
        <v>121</v>
      </c>
      <c r="B122" s="1"/>
    </row>
    <row r="123" spans="1:2" x14ac:dyDescent="0.25">
      <c r="A123" s="1">
        <f t="shared" si="3"/>
        <v>122</v>
      </c>
      <c r="B123" s="1"/>
    </row>
    <row r="124" spans="1:2" x14ac:dyDescent="0.25">
      <c r="A124" s="1">
        <f t="shared" si="3"/>
        <v>123</v>
      </c>
      <c r="B124" s="1"/>
    </row>
    <row r="125" spans="1:2" x14ac:dyDescent="0.25">
      <c r="A125" s="1">
        <f t="shared" si="3"/>
        <v>124</v>
      </c>
      <c r="B125" s="1"/>
    </row>
    <row r="126" spans="1:2" x14ac:dyDescent="0.25">
      <c r="A126" s="1">
        <f>A125+1</f>
        <v>125</v>
      </c>
      <c r="B126" s="1"/>
    </row>
    <row r="127" spans="1:2" x14ac:dyDescent="0.25">
      <c r="A127" s="1">
        <f t="shared" ref="A127:A129" si="4">A126+1</f>
        <v>126</v>
      </c>
      <c r="B127" s="1"/>
    </row>
    <row r="128" spans="1:2" x14ac:dyDescent="0.25">
      <c r="A128" s="1">
        <f t="shared" si="4"/>
        <v>127</v>
      </c>
      <c r="B128" s="1"/>
    </row>
    <row r="129" spans="1:2" x14ac:dyDescent="0.25">
      <c r="A129" s="1">
        <f t="shared" si="4"/>
        <v>128</v>
      </c>
      <c r="B129" s="1"/>
    </row>
    <row r="130" spans="1:2" x14ac:dyDescent="0.25">
      <c r="A130" s="1">
        <f>A129+1</f>
        <v>129</v>
      </c>
      <c r="B130" s="1"/>
    </row>
    <row r="131" spans="1:2" x14ac:dyDescent="0.25">
      <c r="A131" s="1">
        <f>A130+1</f>
        <v>130</v>
      </c>
      <c r="B131" s="1"/>
    </row>
    <row r="132" spans="1:2" x14ac:dyDescent="0.25">
      <c r="A132" s="1">
        <f t="shared" ref="A132" si="5">A131+1</f>
        <v>131</v>
      </c>
      <c r="B132" s="1"/>
    </row>
    <row r="133" spans="1:2" x14ac:dyDescent="0.25">
      <c r="A133" s="1">
        <f>A132+1</f>
        <v>132</v>
      </c>
      <c r="B133" s="1"/>
    </row>
  </sheetData>
  <mergeCells count="48">
    <mergeCell ref="G1:H1"/>
    <mergeCell ref="G3:H3"/>
    <mergeCell ref="G5:H5"/>
    <mergeCell ref="G7:H7"/>
    <mergeCell ref="G9:H9"/>
    <mergeCell ref="G11:H11"/>
    <mergeCell ref="D46:E46"/>
    <mergeCell ref="D47:E47"/>
    <mergeCell ref="D48:E48"/>
    <mergeCell ref="D49:E49"/>
    <mergeCell ref="D31:E31"/>
    <mergeCell ref="D32:E32"/>
    <mergeCell ref="D33:E33"/>
    <mergeCell ref="D34:E34"/>
    <mergeCell ref="D36:E36"/>
    <mergeCell ref="D37:E37"/>
    <mergeCell ref="D23:E23"/>
    <mergeCell ref="D24:E24"/>
    <mergeCell ref="D26:E26"/>
    <mergeCell ref="D27:E27"/>
    <mergeCell ref="D28:E28"/>
    <mergeCell ref="D51:E51"/>
    <mergeCell ref="D52:E52"/>
    <mergeCell ref="D38:E38"/>
    <mergeCell ref="D39:E39"/>
    <mergeCell ref="D41:E41"/>
    <mergeCell ref="D42:E42"/>
    <mergeCell ref="D43:E43"/>
    <mergeCell ref="D44:E44"/>
    <mergeCell ref="D29:E29"/>
    <mergeCell ref="D16:E16"/>
    <mergeCell ref="D17:E17"/>
    <mergeCell ref="D18:E18"/>
    <mergeCell ref="D19:E19"/>
    <mergeCell ref="D21:E21"/>
    <mergeCell ref="D22:E22"/>
    <mergeCell ref="D14:E14"/>
    <mergeCell ref="D1:E1"/>
    <mergeCell ref="D2:E2"/>
    <mergeCell ref="D3:E3"/>
    <mergeCell ref="D4:E4"/>
    <mergeCell ref="D6:E6"/>
    <mergeCell ref="D7:E7"/>
    <mergeCell ref="D8:E8"/>
    <mergeCell ref="D9:E9"/>
    <mergeCell ref="D11:E11"/>
    <mergeCell ref="D12:E12"/>
    <mergeCell ref="D13:E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W36"/>
  <sheetViews>
    <sheetView showGridLines="0" tabSelected="1" workbookViewId="0">
      <selection activeCell="M3" sqref="M3"/>
    </sheetView>
  </sheetViews>
  <sheetFormatPr baseColWidth="10" defaultRowHeight="15" x14ac:dyDescent="0.25"/>
  <sheetData>
    <row r="4" spans="1:23" x14ac:dyDescent="0.25">
      <c r="A4" s="3">
        <v>99</v>
      </c>
      <c r="B4" s="5" t="s">
        <v>18</v>
      </c>
      <c r="C4" s="5" t="s">
        <v>35</v>
      </c>
      <c r="D4" s="5" t="s">
        <v>47</v>
      </c>
      <c r="E4" s="5" t="s">
        <v>59</v>
      </c>
      <c r="F4" s="5" t="s">
        <v>60</v>
      </c>
      <c r="G4" s="5" t="s">
        <v>61</v>
      </c>
      <c r="H4" s="8">
        <v>73</v>
      </c>
      <c r="J4" s="69"/>
      <c r="K4" s="69"/>
    </row>
    <row r="5" spans="1:23" x14ac:dyDescent="0.25">
      <c r="A5" s="3">
        <v>98</v>
      </c>
      <c r="B5" s="5">
        <v>95</v>
      </c>
      <c r="C5" s="5" t="s">
        <v>36</v>
      </c>
      <c r="D5" s="5" t="s">
        <v>48</v>
      </c>
      <c r="E5" s="5" t="s">
        <v>63</v>
      </c>
      <c r="F5" s="5">
        <v>108</v>
      </c>
      <c r="G5" s="5">
        <v>47</v>
      </c>
      <c r="H5" s="8">
        <v>71</v>
      </c>
      <c r="S5" s="12"/>
    </row>
    <row r="6" spans="1:23" x14ac:dyDescent="0.25">
      <c r="A6" s="3">
        <v>97</v>
      </c>
      <c r="B6" s="5" t="s">
        <v>19</v>
      </c>
      <c r="C6" s="5"/>
      <c r="D6" s="5"/>
      <c r="E6" s="5">
        <v>110</v>
      </c>
      <c r="F6" s="5">
        <v>107</v>
      </c>
      <c r="G6" s="5">
        <v>46</v>
      </c>
      <c r="H6" s="8">
        <v>69</v>
      </c>
      <c r="J6" s="69"/>
      <c r="K6" s="69"/>
      <c r="L6" s="10">
        <v>99</v>
      </c>
      <c r="M6" s="5" t="s">
        <v>173</v>
      </c>
      <c r="N6" s="5" t="s">
        <v>141</v>
      </c>
      <c r="O6" s="5" t="s">
        <v>158</v>
      </c>
      <c r="P6" s="5" t="s">
        <v>151</v>
      </c>
      <c r="Q6" s="5" t="s">
        <v>74</v>
      </c>
      <c r="R6" s="5" t="s">
        <v>145</v>
      </c>
      <c r="S6" s="5">
        <v>60</v>
      </c>
      <c r="T6" s="5" t="s">
        <v>191</v>
      </c>
      <c r="U6" s="5" t="s">
        <v>173</v>
      </c>
      <c r="V6" s="5" t="s">
        <v>173</v>
      </c>
      <c r="W6" s="8">
        <v>73</v>
      </c>
    </row>
    <row r="7" spans="1:23" x14ac:dyDescent="0.25">
      <c r="A7" s="3">
        <v>96</v>
      </c>
      <c r="B7" s="5" t="s">
        <v>20</v>
      </c>
      <c r="C7" s="5">
        <v>107</v>
      </c>
      <c r="D7" s="5">
        <v>102</v>
      </c>
      <c r="E7" s="5">
        <v>109</v>
      </c>
      <c r="F7" s="5">
        <v>106</v>
      </c>
      <c r="G7" s="5"/>
      <c r="H7" s="8">
        <v>68</v>
      </c>
      <c r="L7" s="10">
        <v>98</v>
      </c>
      <c r="M7" s="5" t="s">
        <v>32</v>
      </c>
      <c r="N7" s="5" t="s">
        <v>130</v>
      </c>
      <c r="O7" s="5">
        <v>58</v>
      </c>
      <c r="P7" s="5">
        <v>54</v>
      </c>
      <c r="Q7" s="5">
        <v>51</v>
      </c>
      <c r="R7" s="5">
        <v>57</v>
      </c>
      <c r="S7" s="5"/>
      <c r="T7" s="5">
        <v>53</v>
      </c>
      <c r="U7" s="5">
        <v>56</v>
      </c>
      <c r="V7" s="5"/>
      <c r="W7" s="8">
        <v>71</v>
      </c>
    </row>
    <row r="8" spans="1:23" x14ac:dyDescent="0.25">
      <c r="A8" s="3">
        <v>95</v>
      </c>
      <c r="B8" s="5" t="s">
        <v>21</v>
      </c>
      <c r="C8" s="5" t="s">
        <v>37</v>
      </c>
      <c r="D8" s="5" t="s">
        <v>39</v>
      </c>
      <c r="E8" s="5" t="s">
        <v>64</v>
      </c>
      <c r="F8" s="5" t="s">
        <v>76</v>
      </c>
      <c r="G8" s="5" t="s">
        <v>84</v>
      </c>
      <c r="H8" s="8">
        <v>66</v>
      </c>
      <c r="J8" s="69"/>
      <c r="K8" s="69"/>
      <c r="L8" s="10">
        <v>97</v>
      </c>
      <c r="M8" s="5">
        <v>54</v>
      </c>
      <c r="N8" s="5">
        <v>42</v>
      </c>
      <c r="O8" s="5">
        <v>57</v>
      </c>
      <c r="P8" s="5"/>
      <c r="Q8" s="5"/>
      <c r="R8" s="5"/>
      <c r="S8" s="5">
        <v>59</v>
      </c>
      <c r="T8" s="5"/>
      <c r="U8" s="5"/>
      <c r="V8" s="5">
        <v>56</v>
      </c>
      <c r="W8" s="8">
        <v>69</v>
      </c>
    </row>
    <row r="9" spans="1:23" x14ac:dyDescent="0.25">
      <c r="A9" s="3">
        <v>90</v>
      </c>
      <c r="B9" s="5" t="s">
        <v>22</v>
      </c>
      <c r="C9" s="5" t="s">
        <v>38</v>
      </c>
      <c r="D9" s="5" t="s">
        <v>49</v>
      </c>
      <c r="E9" s="5" t="s">
        <v>65</v>
      </c>
      <c r="F9" s="5" t="s">
        <v>77</v>
      </c>
      <c r="G9" s="5" t="s">
        <v>85</v>
      </c>
      <c r="H9" s="8">
        <v>63</v>
      </c>
      <c r="L9" s="10">
        <v>96</v>
      </c>
      <c r="M9" s="5">
        <v>53</v>
      </c>
      <c r="N9" s="5"/>
      <c r="O9" s="5">
        <v>56</v>
      </c>
      <c r="P9" s="5">
        <v>53</v>
      </c>
      <c r="Q9" s="5">
        <v>50</v>
      </c>
      <c r="R9" s="5">
        <v>56</v>
      </c>
      <c r="S9" s="5"/>
      <c r="T9" s="5"/>
      <c r="U9" s="5">
        <v>55</v>
      </c>
      <c r="V9" s="5"/>
      <c r="W9" s="8">
        <v>68</v>
      </c>
    </row>
    <row r="10" spans="1:23" x14ac:dyDescent="0.25">
      <c r="A10" s="3">
        <v>85</v>
      </c>
      <c r="B10" s="5" t="s">
        <v>23</v>
      </c>
      <c r="C10" s="5" t="s">
        <v>39</v>
      </c>
      <c r="D10" s="5" t="s">
        <v>50</v>
      </c>
      <c r="E10" s="5" t="s">
        <v>66</v>
      </c>
      <c r="F10" s="5" t="s">
        <v>78</v>
      </c>
      <c r="G10" s="5">
        <v>39</v>
      </c>
      <c r="H10" s="8">
        <v>60</v>
      </c>
      <c r="J10" s="69"/>
      <c r="K10" s="69"/>
      <c r="L10" s="10">
        <v>95</v>
      </c>
      <c r="M10" s="5">
        <v>52</v>
      </c>
      <c r="N10" s="5" t="s">
        <v>177</v>
      </c>
      <c r="O10" s="5"/>
      <c r="P10" s="5" t="s">
        <v>101</v>
      </c>
      <c r="Q10" s="5" t="s">
        <v>166</v>
      </c>
      <c r="R10" s="5">
        <v>55</v>
      </c>
      <c r="S10" s="5" t="s">
        <v>189</v>
      </c>
      <c r="T10" s="5" t="s">
        <v>101</v>
      </c>
      <c r="U10" s="5">
        <v>54</v>
      </c>
      <c r="V10" s="5" t="s">
        <v>179</v>
      </c>
      <c r="W10" s="8">
        <v>66</v>
      </c>
    </row>
    <row r="11" spans="1:23" x14ac:dyDescent="0.25">
      <c r="A11" s="3">
        <v>80</v>
      </c>
      <c r="B11" s="5" t="s">
        <v>24</v>
      </c>
      <c r="C11" s="5" t="s">
        <v>40</v>
      </c>
      <c r="D11" s="5" t="s">
        <v>51</v>
      </c>
      <c r="E11" s="5" t="s">
        <v>40</v>
      </c>
      <c r="F11" s="5">
        <v>98</v>
      </c>
      <c r="G11" s="5" t="s">
        <v>86</v>
      </c>
      <c r="H11" s="8">
        <v>58</v>
      </c>
      <c r="L11" s="10">
        <v>90</v>
      </c>
      <c r="M11" s="5">
        <v>51</v>
      </c>
      <c r="N11" s="5" t="s">
        <v>131</v>
      </c>
      <c r="O11" s="5" t="s">
        <v>179</v>
      </c>
      <c r="P11" s="5">
        <v>50</v>
      </c>
      <c r="Q11" s="5" t="s">
        <v>182</v>
      </c>
      <c r="R11" s="5">
        <v>54</v>
      </c>
      <c r="S11" s="5" t="s">
        <v>32</v>
      </c>
      <c r="T11" s="5" t="s">
        <v>138</v>
      </c>
      <c r="U11" s="5" t="s">
        <v>187</v>
      </c>
      <c r="V11" s="5" t="s">
        <v>187</v>
      </c>
      <c r="W11" s="8">
        <v>63</v>
      </c>
    </row>
    <row r="12" spans="1:23" x14ac:dyDescent="0.25">
      <c r="A12" s="3"/>
      <c r="B12" s="5"/>
      <c r="C12" s="5"/>
      <c r="D12" s="5"/>
      <c r="E12" s="5"/>
      <c r="F12" s="5"/>
      <c r="G12" s="5"/>
      <c r="H12" s="8"/>
      <c r="J12" s="69"/>
      <c r="K12" s="69"/>
      <c r="L12" s="10">
        <v>85</v>
      </c>
      <c r="M12" s="5">
        <v>50</v>
      </c>
      <c r="N12" s="5">
        <v>37</v>
      </c>
      <c r="O12" s="5">
        <v>53</v>
      </c>
      <c r="P12" s="5" t="s">
        <v>166</v>
      </c>
      <c r="Q12" s="5" t="s">
        <v>183</v>
      </c>
      <c r="R12" s="5" t="s">
        <v>187</v>
      </c>
      <c r="S12" s="5" t="s">
        <v>152</v>
      </c>
      <c r="T12" s="5">
        <v>48</v>
      </c>
      <c r="U12" s="5">
        <v>51</v>
      </c>
      <c r="V12" s="5" t="s">
        <v>165</v>
      </c>
      <c r="W12" s="8">
        <v>60</v>
      </c>
    </row>
    <row r="13" spans="1:23" x14ac:dyDescent="0.25">
      <c r="A13" s="3">
        <v>75</v>
      </c>
      <c r="B13" s="5" t="s">
        <v>25</v>
      </c>
      <c r="C13" s="5">
        <v>97</v>
      </c>
      <c r="D13" s="5" t="s">
        <v>52</v>
      </c>
      <c r="E13" s="5" t="s">
        <v>67</v>
      </c>
      <c r="F13" s="5" t="s">
        <v>67</v>
      </c>
      <c r="G13" s="5">
        <v>36</v>
      </c>
      <c r="H13" s="8">
        <v>57</v>
      </c>
      <c r="L13" s="10">
        <v>80</v>
      </c>
      <c r="M13" s="5" t="s">
        <v>166</v>
      </c>
      <c r="N13" s="5">
        <v>36</v>
      </c>
      <c r="O13" s="5"/>
      <c r="P13" s="5"/>
      <c r="Q13" s="5">
        <v>43</v>
      </c>
      <c r="R13" s="5">
        <v>51</v>
      </c>
      <c r="S13" s="5">
        <v>52</v>
      </c>
      <c r="T13" s="5">
        <v>47</v>
      </c>
      <c r="U13" s="5">
        <v>50</v>
      </c>
      <c r="V13" s="5">
        <v>49</v>
      </c>
      <c r="W13" s="8">
        <v>58</v>
      </c>
    </row>
    <row r="14" spans="1:23" x14ac:dyDescent="0.25">
      <c r="A14" s="3">
        <v>70</v>
      </c>
      <c r="B14" s="5">
        <v>79</v>
      </c>
      <c r="C14" s="5">
        <v>96</v>
      </c>
      <c r="D14" s="5" t="s">
        <v>53</v>
      </c>
      <c r="E14" s="5" t="s">
        <v>68</v>
      </c>
      <c r="F14" s="5">
        <v>95</v>
      </c>
      <c r="G14" s="5">
        <v>35</v>
      </c>
      <c r="H14" s="8">
        <v>56</v>
      </c>
      <c r="J14" s="69"/>
      <c r="K14" s="69"/>
      <c r="L14" s="10"/>
      <c r="M14" s="5"/>
      <c r="N14" s="5"/>
      <c r="O14" s="5"/>
      <c r="P14" s="5"/>
      <c r="Q14" s="5"/>
      <c r="R14" s="5"/>
      <c r="S14" s="5"/>
      <c r="T14" s="5"/>
      <c r="U14" s="5"/>
      <c r="V14" s="5"/>
      <c r="W14" s="8"/>
    </row>
    <row r="15" spans="1:23" x14ac:dyDescent="0.25">
      <c r="A15" s="3">
        <v>65</v>
      </c>
      <c r="B15" s="5" t="s">
        <v>26</v>
      </c>
      <c r="C15" s="5">
        <v>95</v>
      </c>
      <c r="D15" s="5">
        <v>87</v>
      </c>
      <c r="E15" s="5">
        <v>93</v>
      </c>
      <c r="F15" s="5" t="s">
        <v>19</v>
      </c>
      <c r="G15" s="5">
        <v>34</v>
      </c>
      <c r="H15" s="8">
        <v>54</v>
      </c>
      <c r="L15" s="10">
        <v>75</v>
      </c>
      <c r="M15" s="5">
        <v>47</v>
      </c>
      <c r="N15" s="5">
        <v>35</v>
      </c>
      <c r="O15" s="5">
        <v>52</v>
      </c>
      <c r="P15" s="5">
        <v>47</v>
      </c>
      <c r="Q15" s="5">
        <v>42</v>
      </c>
      <c r="R15" s="5"/>
      <c r="S15" s="5">
        <v>51</v>
      </c>
      <c r="T15" s="5" t="s">
        <v>192</v>
      </c>
      <c r="U15" s="5">
        <v>49</v>
      </c>
      <c r="V15" s="5">
        <v>48</v>
      </c>
      <c r="W15" s="8">
        <v>57</v>
      </c>
    </row>
    <row r="16" spans="1:23" x14ac:dyDescent="0.25">
      <c r="A16" s="3">
        <v>60</v>
      </c>
      <c r="B16" s="5">
        <v>76</v>
      </c>
      <c r="C16" s="5">
        <v>94</v>
      </c>
      <c r="D16" s="5">
        <v>86</v>
      </c>
      <c r="E16" s="5" t="s">
        <v>20</v>
      </c>
      <c r="F16" s="5">
        <v>92</v>
      </c>
      <c r="G16" s="5">
        <v>33</v>
      </c>
      <c r="H16" s="8">
        <v>53</v>
      </c>
      <c r="L16" s="10">
        <v>70</v>
      </c>
      <c r="M16" s="5">
        <v>46</v>
      </c>
      <c r="N16" s="5">
        <v>34</v>
      </c>
      <c r="O16" s="5">
        <v>51</v>
      </c>
      <c r="P16" s="5">
        <v>46</v>
      </c>
      <c r="Q16" s="5">
        <v>41</v>
      </c>
      <c r="R16" s="5">
        <v>50</v>
      </c>
      <c r="S16" s="5">
        <v>50</v>
      </c>
      <c r="T16" s="5">
        <v>44</v>
      </c>
      <c r="U16" s="5"/>
      <c r="V16" s="5"/>
      <c r="W16" s="8">
        <v>56</v>
      </c>
    </row>
    <row r="17" spans="1:23" x14ac:dyDescent="0.25">
      <c r="A17" s="3">
        <v>55</v>
      </c>
      <c r="B17" s="5">
        <v>75</v>
      </c>
      <c r="C17" s="5">
        <v>93</v>
      </c>
      <c r="D17" s="5">
        <v>85</v>
      </c>
      <c r="E17" s="5">
        <v>90</v>
      </c>
      <c r="F17" s="5">
        <v>91</v>
      </c>
      <c r="G17" s="5">
        <v>32</v>
      </c>
      <c r="H17" s="8">
        <v>51</v>
      </c>
      <c r="L17" s="10">
        <v>65</v>
      </c>
      <c r="M17" s="5">
        <v>45</v>
      </c>
      <c r="N17" s="5">
        <v>33</v>
      </c>
      <c r="O17" s="5"/>
      <c r="P17" s="5">
        <v>45</v>
      </c>
      <c r="Q17" s="5">
        <v>40</v>
      </c>
      <c r="R17" s="5">
        <v>49</v>
      </c>
      <c r="S17" s="5"/>
      <c r="T17" s="5"/>
      <c r="U17" s="5">
        <v>48</v>
      </c>
      <c r="V17" s="5">
        <v>47</v>
      </c>
      <c r="W17" s="8">
        <v>54</v>
      </c>
    </row>
    <row r="18" spans="1:23" x14ac:dyDescent="0.25">
      <c r="A18" s="3"/>
      <c r="B18" s="5"/>
      <c r="C18" s="5"/>
      <c r="D18" s="5"/>
      <c r="E18" s="5"/>
      <c r="F18" s="5"/>
      <c r="G18" s="5"/>
      <c r="H18" s="8"/>
      <c r="L18" s="10">
        <v>60</v>
      </c>
      <c r="M18" s="5">
        <v>44</v>
      </c>
      <c r="N18" s="5">
        <v>32</v>
      </c>
      <c r="O18" s="5">
        <v>50</v>
      </c>
      <c r="P18" s="5"/>
      <c r="Q18" s="5">
        <v>39</v>
      </c>
      <c r="R18" s="5">
        <v>48</v>
      </c>
      <c r="S18" s="5">
        <v>49</v>
      </c>
      <c r="T18" s="5">
        <v>43</v>
      </c>
      <c r="U18" s="5">
        <v>47</v>
      </c>
      <c r="V18" s="5">
        <v>46</v>
      </c>
      <c r="W18" s="8">
        <v>53</v>
      </c>
    </row>
    <row r="19" spans="1:23" x14ac:dyDescent="0.25">
      <c r="A19" s="3">
        <v>50</v>
      </c>
      <c r="B19" s="5" t="s">
        <v>27</v>
      </c>
      <c r="C19" s="5">
        <v>92</v>
      </c>
      <c r="D19" s="5">
        <v>84</v>
      </c>
      <c r="E19" s="5" t="s">
        <v>53</v>
      </c>
      <c r="F19" s="5">
        <v>90</v>
      </c>
      <c r="G19" s="5">
        <v>31</v>
      </c>
      <c r="H19" s="8">
        <v>50</v>
      </c>
      <c r="L19" s="10">
        <v>55</v>
      </c>
      <c r="M19" s="5"/>
      <c r="N19" s="5"/>
      <c r="O19" s="5">
        <v>49</v>
      </c>
      <c r="P19" s="5">
        <v>44</v>
      </c>
      <c r="Q19" s="5">
        <v>38</v>
      </c>
      <c r="R19" s="5"/>
      <c r="S19" s="5">
        <v>48</v>
      </c>
      <c r="T19" s="5">
        <v>42</v>
      </c>
      <c r="U19" s="5"/>
      <c r="V19" s="5">
        <v>45</v>
      </c>
      <c r="W19" s="8">
        <v>51</v>
      </c>
    </row>
    <row r="20" spans="1:23" x14ac:dyDescent="0.25">
      <c r="A20" s="3"/>
      <c r="B20" s="5"/>
      <c r="C20" s="5"/>
      <c r="D20" s="5"/>
      <c r="E20" s="5"/>
      <c r="F20" s="5"/>
      <c r="G20" s="5"/>
      <c r="H20" s="8"/>
      <c r="L20" s="10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</row>
    <row r="21" spans="1:23" x14ac:dyDescent="0.25">
      <c r="A21" s="3">
        <v>45</v>
      </c>
      <c r="B21" s="5">
        <v>72</v>
      </c>
      <c r="C21" s="5">
        <v>91</v>
      </c>
      <c r="D21" s="5" t="s">
        <v>24</v>
      </c>
      <c r="E21" s="5">
        <v>87</v>
      </c>
      <c r="F21" s="5">
        <v>89</v>
      </c>
      <c r="G21" s="5">
        <v>30</v>
      </c>
      <c r="H21" s="8">
        <v>49</v>
      </c>
      <c r="L21" s="10">
        <v>50</v>
      </c>
      <c r="M21" s="5">
        <v>43</v>
      </c>
      <c r="N21" s="5">
        <v>31</v>
      </c>
      <c r="O21" s="5"/>
      <c r="P21" s="5">
        <v>43</v>
      </c>
      <c r="Q21" s="5">
        <v>37</v>
      </c>
      <c r="R21" s="5">
        <v>47</v>
      </c>
      <c r="S21" s="5"/>
      <c r="T21" s="5">
        <v>41</v>
      </c>
      <c r="U21" s="5">
        <v>46</v>
      </c>
      <c r="V21" s="5"/>
      <c r="W21" s="8">
        <v>50</v>
      </c>
    </row>
    <row r="22" spans="1:23" x14ac:dyDescent="0.25">
      <c r="A22" s="3">
        <v>40</v>
      </c>
      <c r="B22" s="5">
        <v>71</v>
      </c>
      <c r="C22" s="5" t="s">
        <v>41</v>
      </c>
      <c r="D22" s="5">
        <v>81</v>
      </c>
      <c r="E22" s="5" t="s">
        <v>42</v>
      </c>
      <c r="F22" s="5">
        <v>88</v>
      </c>
      <c r="G22" s="5">
        <v>29</v>
      </c>
      <c r="H22" s="8">
        <v>47</v>
      </c>
      <c r="L22" s="10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</row>
    <row r="23" spans="1:23" x14ac:dyDescent="0.25">
      <c r="A23" s="3">
        <v>35</v>
      </c>
      <c r="B23" s="5">
        <v>70</v>
      </c>
      <c r="C23" s="5">
        <v>88</v>
      </c>
      <c r="D23" s="5">
        <v>80</v>
      </c>
      <c r="E23" s="5">
        <v>84</v>
      </c>
      <c r="F23" s="5">
        <v>87</v>
      </c>
      <c r="G23" s="5">
        <v>28</v>
      </c>
      <c r="H23" s="8">
        <v>46</v>
      </c>
      <c r="L23" s="10">
        <v>45</v>
      </c>
      <c r="M23" s="5">
        <v>42</v>
      </c>
      <c r="N23" s="5">
        <v>30</v>
      </c>
      <c r="O23" s="5">
        <v>48</v>
      </c>
      <c r="P23" s="5"/>
      <c r="Q23" s="5">
        <v>36</v>
      </c>
      <c r="R23" s="5">
        <v>46</v>
      </c>
      <c r="S23" s="5">
        <v>47</v>
      </c>
      <c r="T23" s="5">
        <v>40</v>
      </c>
      <c r="U23" s="5">
        <v>45</v>
      </c>
      <c r="V23" s="5">
        <v>44</v>
      </c>
      <c r="W23" s="8">
        <v>49</v>
      </c>
    </row>
    <row r="24" spans="1:23" x14ac:dyDescent="0.25">
      <c r="A24" s="3">
        <v>30</v>
      </c>
      <c r="B24" s="5">
        <v>69</v>
      </c>
      <c r="C24" s="5">
        <v>87</v>
      </c>
      <c r="D24" s="5">
        <v>79</v>
      </c>
      <c r="E24" s="5" t="s">
        <v>69</v>
      </c>
      <c r="F24" s="5" t="s">
        <v>42</v>
      </c>
      <c r="G24" s="5">
        <v>27</v>
      </c>
      <c r="H24" s="8">
        <v>44</v>
      </c>
      <c r="L24" s="10">
        <v>40</v>
      </c>
      <c r="M24" s="5"/>
      <c r="N24" s="5"/>
      <c r="O24" s="5">
        <v>47</v>
      </c>
      <c r="P24" s="5">
        <v>42</v>
      </c>
      <c r="Q24" s="5"/>
      <c r="R24" s="5"/>
      <c r="S24" s="5">
        <v>46</v>
      </c>
      <c r="T24" s="5">
        <v>39</v>
      </c>
      <c r="U24" s="5">
        <v>44</v>
      </c>
      <c r="V24" s="5">
        <v>43</v>
      </c>
      <c r="W24" s="8">
        <v>47</v>
      </c>
    </row>
    <row r="25" spans="1:23" x14ac:dyDescent="0.25">
      <c r="A25" s="3"/>
      <c r="B25" s="5"/>
      <c r="C25" s="5"/>
      <c r="D25" s="5"/>
      <c r="E25" s="5"/>
      <c r="F25" s="5"/>
      <c r="G25" s="5"/>
      <c r="H25" s="8"/>
      <c r="L25" s="10">
        <v>35</v>
      </c>
      <c r="M25" s="5">
        <v>41</v>
      </c>
      <c r="N25" s="5">
        <v>29</v>
      </c>
      <c r="O25" s="5"/>
      <c r="P25" s="5">
        <v>41</v>
      </c>
      <c r="Q25" s="5">
        <v>35</v>
      </c>
      <c r="R25" s="5">
        <v>45</v>
      </c>
      <c r="S25" s="5"/>
      <c r="T25" s="5">
        <v>38</v>
      </c>
      <c r="U25" s="5">
        <v>43</v>
      </c>
      <c r="V25" s="5">
        <v>42</v>
      </c>
      <c r="W25" s="8">
        <v>46</v>
      </c>
    </row>
    <row r="26" spans="1:23" x14ac:dyDescent="0.25">
      <c r="A26" s="3">
        <v>25</v>
      </c>
      <c r="B26" s="5">
        <v>68</v>
      </c>
      <c r="C26" s="5" t="s">
        <v>42</v>
      </c>
      <c r="D26" s="5">
        <v>78</v>
      </c>
      <c r="E26" s="5">
        <v>80</v>
      </c>
      <c r="F26" s="5" t="s">
        <v>79</v>
      </c>
      <c r="G26" s="5">
        <v>26</v>
      </c>
      <c r="H26" s="8">
        <v>43</v>
      </c>
      <c r="L26" s="10">
        <v>30</v>
      </c>
      <c r="M26" s="5">
        <v>40</v>
      </c>
      <c r="N26" s="5"/>
      <c r="O26" s="5">
        <v>46</v>
      </c>
      <c r="P26" s="5"/>
      <c r="Q26" s="5">
        <v>34</v>
      </c>
      <c r="R26" s="5">
        <v>44</v>
      </c>
      <c r="S26" s="5">
        <v>45</v>
      </c>
      <c r="T26" s="5">
        <v>37</v>
      </c>
      <c r="U26" s="5">
        <v>42</v>
      </c>
      <c r="V26" s="5"/>
      <c r="W26" s="8">
        <v>44</v>
      </c>
    </row>
    <row r="27" spans="1:23" x14ac:dyDescent="0.25">
      <c r="A27" s="3">
        <v>20</v>
      </c>
      <c r="B27" s="5" t="s">
        <v>28</v>
      </c>
      <c r="C27" s="5">
        <v>84</v>
      </c>
      <c r="D27" s="5" t="s">
        <v>54</v>
      </c>
      <c r="E27" s="5" t="s">
        <v>70</v>
      </c>
      <c r="F27" s="5" t="s">
        <v>80</v>
      </c>
      <c r="G27" s="5" t="s">
        <v>87</v>
      </c>
      <c r="H27" s="8">
        <v>42</v>
      </c>
      <c r="L27" s="10"/>
      <c r="M27" s="5"/>
      <c r="N27" s="5"/>
      <c r="O27" s="5"/>
      <c r="P27" s="5"/>
      <c r="Q27" s="5"/>
      <c r="R27" s="5"/>
      <c r="S27" s="5"/>
      <c r="T27" s="5"/>
      <c r="U27" s="5"/>
      <c r="V27" s="5"/>
      <c r="W27" s="8"/>
    </row>
    <row r="28" spans="1:23" x14ac:dyDescent="0.25">
      <c r="A28" s="3">
        <v>15</v>
      </c>
      <c r="B28" s="5" t="s">
        <v>29</v>
      </c>
      <c r="C28" s="5">
        <v>83</v>
      </c>
      <c r="D28" s="5" t="s">
        <v>55</v>
      </c>
      <c r="E28" s="5" t="s">
        <v>71</v>
      </c>
      <c r="F28" s="5" t="s">
        <v>81</v>
      </c>
      <c r="G28" s="5" t="s">
        <v>88</v>
      </c>
      <c r="H28" s="8">
        <v>40</v>
      </c>
      <c r="L28" s="10">
        <v>25</v>
      </c>
      <c r="M28" s="5">
        <v>39</v>
      </c>
      <c r="N28" s="5">
        <v>28</v>
      </c>
      <c r="O28" s="5">
        <v>45</v>
      </c>
      <c r="P28" s="5">
        <v>40</v>
      </c>
      <c r="Q28" s="5">
        <v>33</v>
      </c>
      <c r="R28" s="5">
        <v>43</v>
      </c>
      <c r="S28" s="5">
        <v>44</v>
      </c>
      <c r="T28" s="5" t="s">
        <v>167</v>
      </c>
      <c r="U28" s="5">
        <v>41</v>
      </c>
      <c r="V28" s="5">
        <v>41</v>
      </c>
      <c r="W28" s="8">
        <v>43</v>
      </c>
    </row>
    <row r="29" spans="1:23" x14ac:dyDescent="0.25">
      <c r="A29" s="3">
        <v>10</v>
      </c>
      <c r="B29" s="5" t="s">
        <v>30</v>
      </c>
      <c r="C29" s="5" t="s">
        <v>43</v>
      </c>
      <c r="D29" s="5" t="s">
        <v>56</v>
      </c>
      <c r="E29" s="5" t="s">
        <v>72</v>
      </c>
      <c r="F29" s="5" t="s">
        <v>26</v>
      </c>
      <c r="G29" s="5">
        <v>21</v>
      </c>
      <c r="H29" s="8">
        <v>37</v>
      </c>
      <c r="L29" s="10">
        <v>20</v>
      </c>
      <c r="M29" s="5" t="s">
        <v>86</v>
      </c>
      <c r="N29" s="5">
        <v>27</v>
      </c>
      <c r="O29" s="5">
        <v>44</v>
      </c>
      <c r="P29" s="5">
        <v>39</v>
      </c>
      <c r="Q29" s="5">
        <v>32</v>
      </c>
      <c r="R29" s="5"/>
      <c r="S29" s="5">
        <v>43</v>
      </c>
      <c r="T29" s="5" t="s">
        <v>149</v>
      </c>
      <c r="U29" s="5">
        <v>40</v>
      </c>
      <c r="V29" s="5">
        <v>40</v>
      </c>
      <c r="W29" s="8">
        <v>42</v>
      </c>
    </row>
    <row r="30" spans="1:23" x14ac:dyDescent="0.25">
      <c r="A30" s="3">
        <v>5</v>
      </c>
      <c r="B30" s="5" t="s">
        <v>31</v>
      </c>
      <c r="C30" s="5" t="s">
        <v>44</v>
      </c>
      <c r="D30" s="5" t="s">
        <v>57</v>
      </c>
      <c r="E30" s="5" t="s">
        <v>73</v>
      </c>
      <c r="F30" s="5">
        <v>76</v>
      </c>
      <c r="G30" s="5" t="s">
        <v>89</v>
      </c>
      <c r="H30" s="8">
        <v>34</v>
      </c>
      <c r="L30" s="10">
        <v>15</v>
      </c>
      <c r="M30" s="5">
        <v>36</v>
      </c>
      <c r="N30" s="5">
        <v>26</v>
      </c>
      <c r="O30" s="5">
        <v>43</v>
      </c>
      <c r="P30" s="5">
        <v>38</v>
      </c>
      <c r="Q30" s="5" t="s">
        <v>184</v>
      </c>
      <c r="R30" s="5">
        <v>42</v>
      </c>
      <c r="S30" s="5" t="s">
        <v>85</v>
      </c>
      <c r="T30" s="5">
        <v>32</v>
      </c>
      <c r="U30" s="5">
        <v>39</v>
      </c>
      <c r="V30" s="5">
        <v>39</v>
      </c>
      <c r="W30" s="8">
        <v>40</v>
      </c>
    </row>
    <row r="31" spans="1:23" x14ac:dyDescent="0.25">
      <c r="A31" s="3">
        <v>4</v>
      </c>
      <c r="B31" s="5">
        <v>57</v>
      </c>
      <c r="C31" s="5">
        <v>75</v>
      </c>
      <c r="D31" s="5">
        <v>66</v>
      </c>
      <c r="E31" s="5">
        <v>61</v>
      </c>
      <c r="F31" s="5">
        <v>75</v>
      </c>
      <c r="G31" s="5">
        <v>18</v>
      </c>
      <c r="H31" s="8">
        <v>32</v>
      </c>
      <c r="L31" s="10">
        <v>10</v>
      </c>
      <c r="M31" s="5" t="s">
        <v>174</v>
      </c>
      <c r="N31" s="5">
        <v>25</v>
      </c>
      <c r="O31" s="5" t="s">
        <v>146</v>
      </c>
      <c r="P31" s="5" t="s">
        <v>181</v>
      </c>
      <c r="Q31" s="5" t="s">
        <v>185</v>
      </c>
      <c r="R31" s="5">
        <v>41</v>
      </c>
      <c r="S31" s="5" t="s">
        <v>131</v>
      </c>
      <c r="T31" s="5" t="s">
        <v>193</v>
      </c>
      <c r="U31" s="5">
        <v>38</v>
      </c>
      <c r="V31" s="5">
        <v>38</v>
      </c>
      <c r="W31" s="8">
        <v>37</v>
      </c>
    </row>
    <row r="32" spans="1:23" x14ac:dyDescent="0.25">
      <c r="A32" s="3">
        <v>3</v>
      </c>
      <c r="B32" s="5" t="s">
        <v>32</v>
      </c>
      <c r="C32" s="5">
        <v>74</v>
      </c>
      <c r="D32" s="5" t="s">
        <v>29</v>
      </c>
      <c r="E32" s="5" t="s">
        <v>74</v>
      </c>
      <c r="F32" s="5" t="s">
        <v>27</v>
      </c>
      <c r="G32" s="5">
        <v>17</v>
      </c>
      <c r="H32" s="8">
        <v>31</v>
      </c>
      <c r="L32" s="10">
        <v>5</v>
      </c>
      <c r="M32" s="5">
        <v>32</v>
      </c>
      <c r="N32" s="5">
        <v>24</v>
      </c>
      <c r="O32" s="5">
        <v>40</v>
      </c>
      <c r="P32" s="5">
        <v>35</v>
      </c>
      <c r="Q32" s="5" t="s">
        <v>133</v>
      </c>
      <c r="R32" s="5" t="s">
        <v>142</v>
      </c>
      <c r="S32" s="5" t="s">
        <v>190</v>
      </c>
      <c r="T32" s="5" t="s">
        <v>154</v>
      </c>
      <c r="U32" s="5" t="s">
        <v>181</v>
      </c>
      <c r="V32" s="5">
        <v>37</v>
      </c>
      <c r="W32" s="8">
        <v>34</v>
      </c>
    </row>
    <row r="33" spans="1:23" x14ac:dyDescent="0.25">
      <c r="A33" s="3">
        <v>2</v>
      </c>
      <c r="B33" s="5" t="s">
        <v>33</v>
      </c>
      <c r="C33" s="5" t="s">
        <v>45</v>
      </c>
      <c r="D33" s="5" t="s">
        <v>30</v>
      </c>
      <c r="E33" s="5" t="s">
        <v>75</v>
      </c>
      <c r="F33" s="5" t="s">
        <v>82</v>
      </c>
      <c r="G33" s="5">
        <v>16</v>
      </c>
      <c r="H33" s="8">
        <v>29</v>
      </c>
      <c r="L33" s="10">
        <v>4</v>
      </c>
      <c r="M33" s="5">
        <v>31</v>
      </c>
      <c r="N33" s="5"/>
      <c r="O33" s="5"/>
      <c r="P33" s="5">
        <v>34</v>
      </c>
      <c r="Q33" s="5" t="s">
        <v>155</v>
      </c>
      <c r="R33" s="5" t="s">
        <v>86</v>
      </c>
      <c r="S33" s="5">
        <v>33</v>
      </c>
      <c r="T33" s="5" t="s">
        <v>194</v>
      </c>
      <c r="U33" s="5">
        <v>35</v>
      </c>
      <c r="V33" s="5">
        <v>36</v>
      </c>
      <c r="W33" s="8">
        <v>32</v>
      </c>
    </row>
    <row r="34" spans="1:23" x14ac:dyDescent="0.25">
      <c r="A34" s="4">
        <v>1</v>
      </c>
      <c r="B34" s="6" t="s">
        <v>34</v>
      </c>
      <c r="C34" s="6" t="s">
        <v>46</v>
      </c>
      <c r="D34" s="6" t="s">
        <v>58</v>
      </c>
      <c r="E34" s="6" t="s">
        <v>34</v>
      </c>
      <c r="F34" s="6" t="s">
        <v>83</v>
      </c>
      <c r="G34" s="7" t="s">
        <v>123</v>
      </c>
      <c r="H34" s="9">
        <v>27</v>
      </c>
      <c r="L34" s="10">
        <v>3</v>
      </c>
      <c r="M34" s="5" t="s">
        <v>175</v>
      </c>
      <c r="N34" s="5" t="s">
        <v>88</v>
      </c>
      <c r="O34" s="5"/>
      <c r="P34" s="5" t="s">
        <v>162</v>
      </c>
      <c r="Q34" s="5" t="s">
        <v>134</v>
      </c>
      <c r="R34" s="5">
        <v>36</v>
      </c>
      <c r="S34" s="5" t="s">
        <v>168</v>
      </c>
      <c r="T34" s="5" t="s">
        <v>134</v>
      </c>
      <c r="U34" s="5">
        <v>34</v>
      </c>
      <c r="V34" s="5" t="s">
        <v>132</v>
      </c>
      <c r="W34" s="8">
        <v>31</v>
      </c>
    </row>
    <row r="35" spans="1:23" x14ac:dyDescent="0.25">
      <c r="L35" s="10">
        <v>2</v>
      </c>
      <c r="M35" s="5">
        <v>28</v>
      </c>
      <c r="N35" s="5">
        <v>21</v>
      </c>
      <c r="O35" s="5">
        <v>39</v>
      </c>
      <c r="P35" s="5">
        <v>31</v>
      </c>
      <c r="Q35" s="5">
        <v>20</v>
      </c>
      <c r="R35" s="5" t="s">
        <v>132</v>
      </c>
      <c r="S35" s="5" t="s">
        <v>153</v>
      </c>
      <c r="T35" s="5" t="s">
        <v>195</v>
      </c>
      <c r="U35" s="5" t="s">
        <v>162</v>
      </c>
      <c r="V35" s="5" t="s">
        <v>162</v>
      </c>
      <c r="W35" s="8">
        <v>29</v>
      </c>
    </row>
    <row r="36" spans="1:23" x14ac:dyDescent="0.25">
      <c r="L36" s="11">
        <v>1</v>
      </c>
      <c r="M36" s="7" t="s">
        <v>176</v>
      </c>
      <c r="N36" s="7" t="s">
        <v>178</v>
      </c>
      <c r="O36" s="7" t="s">
        <v>180</v>
      </c>
      <c r="P36" s="6" t="s">
        <v>171</v>
      </c>
      <c r="Q36" s="6" t="s">
        <v>186</v>
      </c>
      <c r="R36" s="7" t="s">
        <v>188</v>
      </c>
      <c r="S36" s="6" t="s">
        <v>176</v>
      </c>
      <c r="T36" s="6" t="s">
        <v>135</v>
      </c>
      <c r="U36" s="6" t="s">
        <v>172</v>
      </c>
      <c r="V36" s="6" t="s">
        <v>172</v>
      </c>
      <c r="W36" s="9">
        <v>27</v>
      </c>
    </row>
  </sheetData>
  <mergeCells count="6">
    <mergeCell ref="J14:K14"/>
    <mergeCell ref="J4:K4"/>
    <mergeCell ref="J6:K6"/>
    <mergeCell ref="J8:K8"/>
    <mergeCell ref="J10:K10"/>
    <mergeCell ref="J12:K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34"/>
  <sheetViews>
    <sheetView showGridLines="0" workbookViewId="0">
      <selection activeCell="J26" sqref="J26"/>
    </sheetView>
  </sheetViews>
  <sheetFormatPr baseColWidth="10" defaultRowHeight="15" x14ac:dyDescent="0.25"/>
  <sheetData>
    <row r="3" spans="1:21" x14ac:dyDescent="0.25">
      <c r="Q3" s="12"/>
    </row>
    <row r="4" spans="1:21" x14ac:dyDescent="0.25">
      <c r="A4" s="3">
        <v>99</v>
      </c>
      <c r="B4" s="5" t="s">
        <v>90</v>
      </c>
      <c r="C4" s="5" t="s">
        <v>103</v>
      </c>
      <c r="D4" s="5" t="s">
        <v>60</v>
      </c>
      <c r="E4" s="5" t="s">
        <v>117</v>
      </c>
      <c r="F4" s="5" t="s">
        <v>103</v>
      </c>
      <c r="G4" s="5" t="s">
        <v>128</v>
      </c>
      <c r="H4" s="8">
        <v>73</v>
      </c>
      <c r="J4" s="10">
        <v>99</v>
      </c>
      <c r="K4" s="5" t="s">
        <v>137</v>
      </c>
      <c r="L4" s="5" t="s">
        <v>141</v>
      </c>
      <c r="M4" s="5" t="s">
        <v>145</v>
      </c>
      <c r="N4" s="5" t="s">
        <v>148</v>
      </c>
      <c r="O4" s="5" t="s">
        <v>151</v>
      </c>
      <c r="P4" s="5" t="s">
        <v>145</v>
      </c>
      <c r="Q4" s="5" t="s">
        <v>158</v>
      </c>
      <c r="R4" s="5" t="s">
        <v>137</v>
      </c>
      <c r="S4" s="5" t="s">
        <v>137</v>
      </c>
      <c r="T4" s="5" t="s">
        <v>151</v>
      </c>
      <c r="U4" s="8">
        <v>73</v>
      </c>
    </row>
    <row r="5" spans="1:21" x14ac:dyDescent="0.25">
      <c r="A5" s="3">
        <v>98</v>
      </c>
      <c r="B5" s="5" t="s">
        <v>91</v>
      </c>
      <c r="C5" s="5">
        <v>107</v>
      </c>
      <c r="D5" s="5" t="s">
        <v>64</v>
      </c>
      <c r="E5" s="5" t="s">
        <v>62</v>
      </c>
      <c r="F5" s="5" t="s">
        <v>124</v>
      </c>
      <c r="G5" s="5" t="s">
        <v>129</v>
      </c>
      <c r="H5" s="8">
        <v>71</v>
      </c>
      <c r="J5" s="10">
        <v>98</v>
      </c>
      <c r="K5" s="5">
        <v>55</v>
      </c>
      <c r="L5" s="5">
        <v>44</v>
      </c>
      <c r="M5" s="5">
        <v>57</v>
      </c>
      <c r="N5" s="5">
        <v>52</v>
      </c>
      <c r="O5" s="5" t="s">
        <v>152</v>
      </c>
      <c r="P5" s="5">
        <v>57</v>
      </c>
      <c r="Q5" s="5">
        <v>58</v>
      </c>
      <c r="R5" s="5">
        <v>55</v>
      </c>
      <c r="S5" s="5"/>
      <c r="T5" s="5">
        <v>54</v>
      </c>
      <c r="U5" s="8">
        <v>71</v>
      </c>
    </row>
    <row r="6" spans="1:21" x14ac:dyDescent="0.25">
      <c r="A6" s="3">
        <v>97</v>
      </c>
      <c r="B6" s="5">
        <v>94</v>
      </c>
      <c r="C6" s="5">
        <v>106</v>
      </c>
      <c r="D6" s="5" t="s">
        <v>37</v>
      </c>
      <c r="E6" s="5">
        <v>110</v>
      </c>
      <c r="F6" s="5">
        <v>105</v>
      </c>
      <c r="G6" s="5">
        <v>46</v>
      </c>
      <c r="H6" s="8">
        <v>69</v>
      </c>
      <c r="J6" s="10">
        <v>97</v>
      </c>
      <c r="K6" s="5">
        <v>54</v>
      </c>
      <c r="L6" s="5">
        <v>43</v>
      </c>
      <c r="M6" s="5"/>
      <c r="N6" s="5">
        <v>51</v>
      </c>
      <c r="O6" s="5">
        <v>52</v>
      </c>
      <c r="P6" s="5"/>
      <c r="Q6" s="5"/>
      <c r="R6" s="5">
        <v>54</v>
      </c>
      <c r="S6" s="5">
        <v>55</v>
      </c>
      <c r="T6" s="5">
        <v>53</v>
      </c>
      <c r="U6" s="8">
        <v>69</v>
      </c>
    </row>
    <row r="7" spans="1:21" x14ac:dyDescent="0.25">
      <c r="A7" s="3">
        <v>96</v>
      </c>
      <c r="B7" s="5" t="s">
        <v>51</v>
      </c>
      <c r="C7" s="5" t="s">
        <v>76</v>
      </c>
      <c r="D7" s="5">
        <v>104</v>
      </c>
      <c r="E7" s="5">
        <v>109</v>
      </c>
      <c r="F7" s="5">
        <v>104</v>
      </c>
      <c r="G7" s="5">
        <v>45</v>
      </c>
      <c r="H7" s="8">
        <v>68</v>
      </c>
      <c r="J7" s="10">
        <v>96</v>
      </c>
      <c r="K7" s="5">
        <v>53</v>
      </c>
      <c r="L7" s="5">
        <v>42</v>
      </c>
      <c r="M7" s="5">
        <v>56</v>
      </c>
      <c r="N7" s="5"/>
      <c r="O7" s="5">
        <v>51</v>
      </c>
      <c r="P7" s="5">
        <v>56</v>
      </c>
      <c r="Q7" s="5">
        <v>57</v>
      </c>
      <c r="R7" s="5">
        <v>53</v>
      </c>
      <c r="S7" s="5"/>
      <c r="T7" s="5"/>
      <c r="U7" s="8">
        <v>68</v>
      </c>
    </row>
    <row r="8" spans="1:21" x14ac:dyDescent="0.25">
      <c r="A8" s="3">
        <v>95</v>
      </c>
      <c r="B8" s="5" t="s">
        <v>92</v>
      </c>
      <c r="C8" s="5" t="s">
        <v>104</v>
      </c>
      <c r="D8" s="5" t="s">
        <v>77</v>
      </c>
      <c r="E8" s="5" t="s">
        <v>118</v>
      </c>
      <c r="F8" s="5" t="s">
        <v>104</v>
      </c>
      <c r="G8" s="5" t="s">
        <v>130</v>
      </c>
      <c r="H8" s="8">
        <v>66</v>
      </c>
      <c r="J8" s="10">
        <v>95</v>
      </c>
      <c r="K8" s="5" t="s">
        <v>101</v>
      </c>
      <c r="L8" s="5">
        <v>41</v>
      </c>
      <c r="M8" s="5">
        <v>55</v>
      </c>
      <c r="N8" s="5" t="s">
        <v>138</v>
      </c>
      <c r="O8" s="5" t="s">
        <v>138</v>
      </c>
      <c r="P8" s="5">
        <v>55</v>
      </c>
      <c r="Q8" s="5">
        <v>56</v>
      </c>
      <c r="R8" s="5">
        <v>52</v>
      </c>
      <c r="S8" s="5" t="s">
        <v>152</v>
      </c>
      <c r="T8" s="5">
        <v>52</v>
      </c>
      <c r="U8" s="8">
        <v>66</v>
      </c>
    </row>
    <row r="9" spans="1:21" x14ac:dyDescent="0.25">
      <c r="A9" s="3">
        <v>90</v>
      </c>
      <c r="B9" s="5" t="s">
        <v>93</v>
      </c>
      <c r="C9" s="5" t="s">
        <v>105</v>
      </c>
      <c r="D9" s="5" t="s">
        <v>110</v>
      </c>
      <c r="E9" s="5" t="s">
        <v>48</v>
      </c>
      <c r="F9" s="5" t="s">
        <v>39</v>
      </c>
      <c r="G9" s="5" t="s">
        <v>85</v>
      </c>
      <c r="H9" s="8">
        <v>63</v>
      </c>
      <c r="J9" s="10">
        <v>90</v>
      </c>
      <c r="K9" s="5" t="s">
        <v>138</v>
      </c>
      <c r="L9" s="5" t="s">
        <v>142</v>
      </c>
      <c r="M9" s="5">
        <v>54</v>
      </c>
      <c r="N9" s="5">
        <v>48</v>
      </c>
      <c r="O9" s="5" t="s">
        <v>129</v>
      </c>
      <c r="P9" s="5" t="s">
        <v>152</v>
      </c>
      <c r="Q9" s="5">
        <v>55</v>
      </c>
      <c r="R9" s="5" t="s">
        <v>165</v>
      </c>
      <c r="S9" s="5">
        <v>52</v>
      </c>
      <c r="T9" s="5" t="s">
        <v>165</v>
      </c>
      <c r="U9" s="8">
        <v>63</v>
      </c>
    </row>
    <row r="10" spans="1:21" x14ac:dyDescent="0.25">
      <c r="A10" s="3">
        <v>85</v>
      </c>
      <c r="B10" s="5" t="s">
        <v>23</v>
      </c>
      <c r="C10" s="5" t="s">
        <v>106</v>
      </c>
      <c r="D10" s="5" t="s">
        <v>111</v>
      </c>
      <c r="E10" s="5" t="s">
        <v>66</v>
      </c>
      <c r="F10" s="5" t="s">
        <v>40</v>
      </c>
      <c r="G10" s="5" t="s">
        <v>131</v>
      </c>
      <c r="H10" s="8">
        <v>60</v>
      </c>
      <c r="J10" s="10">
        <v>85</v>
      </c>
      <c r="K10" s="5">
        <v>48</v>
      </c>
      <c r="L10" s="5">
        <v>38</v>
      </c>
      <c r="M10" s="5">
        <v>53</v>
      </c>
      <c r="N10" s="5">
        <v>47</v>
      </c>
      <c r="O10" s="5">
        <v>46</v>
      </c>
      <c r="P10" s="5">
        <v>52</v>
      </c>
      <c r="Q10" s="5">
        <v>54</v>
      </c>
      <c r="R10" s="5" t="s">
        <v>166</v>
      </c>
      <c r="S10" s="5">
        <v>51</v>
      </c>
      <c r="T10" s="5">
        <v>49</v>
      </c>
      <c r="U10" s="8">
        <v>60</v>
      </c>
    </row>
    <row r="11" spans="1:21" x14ac:dyDescent="0.25">
      <c r="A11" s="3">
        <v>80</v>
      </c>
      <c r="B11" s="5" t="s">
        <v>24</v>
      </c>
      <c r="C11" s="5">
        <v>96</v>
      </c>
      <c r="D11" s="5" t="s">
        <v>19</v>
      </c>
      <c r="E11" s="5" t="s">
        <v>40</v>
      </c>
      <c r="F11" s="5" t="s">
        <v>67</v>
      </c>
      <c r="G11" s="5">
        <v>37</v>
      </c>
      <c r="H11" s="8">
        <v>58</v>
      </c>
      <c r="J11" s="10">
        <v>80</v>
      </c>
      <c r="K11" s="5">
        <v>47</v>
      </c>
      <c r="L11" s="5">
        <v>37</v>
      </c>
      <c r="M11" s="5">
        <v>52</v>
      </c>
      <c r="N11" s="5">
        <v>46</v>
      </c>
      <c r="O11" s="5">
        <v>45</v>
      </c>
      <c r="P11" s="5">
        <v>51</v>
      </c>
      <c r="Q11" s="5">
        <v>53</v>
      </c>
      <c r="R11" s="5">
        <v>47</v>
      </c>
      <c r="S11" s="5">
        <v>50</v>
      </c>
      <c r="T11" s="5">
        <v>48</v>
      </c>
      <c r="U11" s="8">
        <v>58</v>
      </c>
    </row>
    <row r="12" spans="1:21" x14ac:dyDescent="0.25">
      <c r="A12" s="3"/>
      <c r="B12" s="5"/>
      <c r="C12" s="5"/>
      <c r="D12" s="5"/>
      <c r="E12" s="5"/>
      <c r="F12" s="5"/>
      <c r="G12" s="5"/>
      <c r="H12" s="8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8"/>
    </row>
    <row r="13" spans="1:21" x14ac:dyDescent="0.25">
      <c r="A13" s="3">
        <v>75</v>
      </c>
      <c r="B13" s="5" t="s">
        <v>25</v>
      </c>
      <c r="C13" s="5">
        <v>95</v>
      </c>
      <c r="D13" s="5">
        <v>92</v>
      </c>
      <c r="E13" s="5">
        <v>97</v>
      </c>
      <c r="F13" s="5">
        <v>95</v>
      </c>
      <c r="G13" s="5">
        <v>36</v>
      </c>
      <c r="H13" s="8">
        <v>57</v>
      </c>
      <c r="J13" s="10">
        <v>75</v>
      </c>
      <c r="K13" s="5">
        <v>46</v>
      </c>
      <c r="L13" s="5">
        <v>36</v>
      </c>
      <c r="M13" s="5">
        <v>51</v>
      </c>
      <c r="N13" s="5">
        <v>45</v>
      </c>
      <c r="O13" s="5">
        <v>44</v>
      </c>
      <c r="P13" s="5">
        <v>50</v>
      </c>
      <c r="Q13" s="5">
        <v>52</v>
      </c>
      <c r="R13" s="5">
        <v>46</v>
      </c>
      <c r="S13" s="5">
        <v>49</v>
      </c>
      <c r="T13" s="5">
        <v>47</v>
      </c>
      <c r="U13" s="8">
        <v>57</v>
      </c>
    </row>
    <row r="14" spans="1:21" x14ac:dyDescent="0.25">
      <c r="A14" s="3">
        <v>70</v>
      </c>
      <c r="B14" s="5" t="s">
        <v>94</v>
      </c>
      <c r="C14" s="5" t="s">
        <v>19</v>
      </c>
      <c r="D14" s="5" t="s">
        <v>52</v>
      </c>
      <c r="E14" s="5" t="s">
        <v>91</v>
      </c>
      <c r="F14" s="5" t="s">
        <v>19</v>
      </c>
      <c r="G14" s="5" t="s">
        <v>132</v>
      </c>
      <c r="H14" s="8">
        <v>56</v>
      </c>
      <c r="J14" s="10">
        <v>70</v>
      </c>
      <c r="K14" s="5">
        <v>45</v>
      </c>
      <c r="L14" s="5">
        <v>35</v>
      </c>
      <c r="M14" s="5">
        <v>50</v>
      </c>
      <c r="N14" s="5">
        <v>44</v>
      </c>
      <c r="O14" s="5">
        <v>43</v>
      </c>
      <c r="P14" s="5">
        <v>49</v>
      </c>
      <c r="Q14" s="5">
        <v>51</v>
      </c>
      <c r="R14" s="5">
        <v>45</v>
      </c>
      <c r="S14" s="5">
        <v>48</v>
      </c>
      <c r="T14" s="5">
        <v>46</v>
      </c>
      <c r="U14" s="8">
        <v>56</v>
      </c>
    </row>
    <row r="15" spans="1:21" x14ac:dyDescent="0.25">
      <c r="A15" s="3">
        <v>65</v>
      </c>
      <c r="B15" s="5">
        <v>77</v>
      </c>
      <c r="C15" s="5">
        <v>92</v>
      </c>
      <c r="D15" s="5">
        <v>89</v>
      </c>
      <c r="E15" s="5">
        <v>94</v>
      </c>
      <c r="F15" s="5">
        <v>92</v>
      </c>
      <c r="G15" s="5">
        <v>33</v>
      </c>
      <c r="H15" s="8">
        <v>54</v>
      </c>
      <c r="J15" s="10">
        <v>65</v>
      </c>
      <c r="K15" s="5">
        <v>44</v>
      </c>
      <c r="L15" s="5">
        <v>34</v>
      </c>
      <c r="M15" s="5"/>
      <c r="N15" s="5"/>
      <c r="O15" s="5">
        <v>42</v>
      </c>
      <c r="P15" s="5"/>
      <c r="Q15" s="5">
        <v>50</v>
      </c>
      <c r="R15" s="5">
        <v>44</v>
      </c>
      <c r="S15" s="5"/>
      <c r="T15" s="5">
        <v>45</v>
      </c>
      <c r="U15" s="8">
        <v>54</v>
      </c>
    </row>
    <row r="16" spans="1:21" x14ac:dyDescent="0.25">
      <c r="A16" s="3">
        <v>60</v>
      </c>
      <c r="B16" s="5" t="s">
        <v>71</v>
      </c>
      <c r="C16" s="5">
        <v>91</v>
      </c>
      <c r="D16" s="5" t="s">
        <v>112</v>
      </c>
      <c r="E16" s="5" t="s">
        <v>51</v>
      </c>
      <c r="F16" s="5">
        <v>91</v>
      </c>
      <c r="G16" s="5">
        <v>32</v>
      </c>
      <c r="H16" s="8">
        <v>53</v>
      </c>
      <c r="J16" s="10">
        <v>60</v>
      </c>
      <c r="K16" s="5">
        <v>43</v>
      </c>
      <c r="L16" s="5">
        <v>33</v>
      </c>
      <c r="M16" s="5">
        <v>49</v>
      </c>
      <c r="N16" s="5">
        <v>43</v>
      </c>
      <c r="O16" s="5">
        <v>41</v>
      </c>
      <c r="P16" s="5">
        <v>48</v>
      </c>
      <c r="Q16" s="5">
        <v>49</v>
      </c>
      <c r="R16" s="5"/>
      <c r="S16" s="5">
        <v>47</v>
      </c>
      <c r="T16" s="5"/>
      <c r="U16" s="8">
        <v>53</v>
      </c>
    </row>
    <row r="17" spans="1:21" x14ac:dyDescent="0.25">
      <c r="A17" s="3">
        <v>55</v>
      </c>
      <c r="B17" s="5">
        <v>74</v>
      </c>
      <c r="C17" s="5">
        <v>90</v>
      </c>
      <c r="D17" s="5">
        <v>86</v>
      </c>
      <c r="E17" s="5">
        <v>91</v>
      </c>
      <c r="F17" s="5">
        <v>90</v>
      </c>
      <c r="G17" s="5">
        <v>31</v>
      </c>
      <c r="H17" s="8">
        <v>51</v>
      </c>
      <c r="J17" s="10">
        <v>55</v>
      </c>
      <c r="K17" s="5">
        <v>42</v>
      </c>
      <c r="L17" s="5"/>
      <c r="M17" s="5"/>
      <c r="N17" s="5">
        <v>42</v>
      </c>
      <c r="O17" s="5">
        <v>40</v>
      </c>
      <c r="P17" s="5">
        <v>47</v>
      </c>
      <c r="Q17" s="5"/>
      <c r="R17" s="5">
        <v>43</v>
      </c>
      <c r="S17" s="5">
        <v>46</v>
      </c>
      <c r="T17" s="5">
        <v>44</v>
      </c>
      <c r="U17" s="8">
        <v>51</v>
      </c>
    </row>
    <row r="18" spans="1:21" x14ac:dyDescent="0.25">
      <c r="A18" s="3"/>
      <c r="B18" s="5"/>
      <c r="C18" s="5"/>
      <c r="D18" s="5"/>
      <c r="E18" s="5"/>
      <c r="F18" s="5"/>
      <c r="G18" s="5"/>
      <c r="H18" s="8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8"/>
    </row>
    <row r="19" spans="1:21" x14ac:dyDescent="0.25">
      <c r="A19" s="3">
        <v>50</v>
      </c>
      <c r="B19" s="5">
        <v>73</v>
      </c>
      <c r="C19" s="5">
        <v>89</v>
      </c>
      <c r="D19" s="5">
        <v>85</v>
      </c>
      <c r="E19" s="5" t="s">
        <v>41</v>
      </c>
      <c r="F19" s="5" t="s">
        <v>53</v>
      </c>
      <c r="G19" s="5">
        <v>30</v>
      </c>
      <c r="H19" s="8">
        <v>50</v>
      </c>
      <c r="J19" s="10">
        <v>50</v>
      </c>
      <c r="K19" s="5">
        <v>41</v>
      </c>
      <c r="L19" s="5">
        <v>32</v>
      </c>
      <c r="M19" s="5">
        <v>48</v>
      </c>
      <c r="N19" s="5"/>
      <c r="O19" s="5">
        <v>39</v>
      </c>
      <c r="P19" s="5"/>
      <c r="Q19" s="5">
        <v>48</v>
      </c>
      <c r="R19" s="5">
        <v>42</v>
      </c>
      <c r="S19" s="5">
        <v>45</v>
      </c>
      <c r="T19" s="5">
        <v>43</v>
      </c>
      <c r="U19" s="8">
        <v>50</v>
      </c>
    </row>
    <row r="20" spans="1:21" x14ac:dyDescent="0.25">
      <c r="A20" s="3"/>
      <c r="B20" s="5"/>
      <c r="C20" s="5"/>
      <c r="D20" s="5"/>
      <c r="E20" s="5"/>
      <c r="F20" s="5"/>
      <c r="G20" s="5"/>
      <c r="H20" s="8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8"/>
    </row>
    <row r="21" spans="1:21" x14ac:dyDescent="0.25">
      <c r="A21" s="3">
        <v>45</v>
      </c>
      <c r="B21" s="5" t="s">
        <v>95</v>
      </c>
      <c r="C21" s="5">
        <v>88</v>
      </c>
      <c r="D21" s="5" t="s">
        <v>79</v>
      </c>
      <c r="E21" s="5">
        <v>88</v>
      </c>
      <c r="F21" s="5">
        <v>87</v>
      </c>
      <c r="G21" s="5">
        <v>29</v>
      </c>
      <c r="H21" s="8">
        <v>49</v>
      </c>
      <c r="J21" s="10">
        <v>45</v>
      </c>
      <c r="K21" s="5">
        <v>40</v>
      </c>
      <c r="L21" s="5">
        <v>31</v>
      </c>
      <c r="M21" s="5"/>
      <c r="N21" s="5">
        <v>41</v>
      </c>
      <c r="O21" s="5">
        <v>38</v>
      </c>
      <c r="P21" s="5">
        <v>46</v>
      </c>
      <c r="Q21" s="5">
        <v>47</v>
      </c>
      <c r="R21" s="5">
        <v>41</v>
      </c>
      <c r="S21" s="5"/>
      <c r="T21" s="5"/>
      <c r="U21" s="8">
        <v>49</v>
      </c>
    </row>
    <row r="22" spans="1:21" x14ac:dyDescent="0.25">
      <c r="A22" s="3">
        <v>40</v>
      </c>
      <c r="B22" s="5">
        <v>70</v>
      </c>
      <c r="C22" s="5">
        <v>87</v>
      </c>
      <c r="D22" s="5">
        <v>82</v>
      </c>
      <c r="E22" s="5" t="s">
        <v>22</v>
      </c>
      <c r="F22" s="5">
        <v>86</v>
      </c>
      <c r="G22" s="5">
        <v>28</v>
      </c>
      <c r="H22" s="8">
        <v>47</v>
      </c>
      <c r="J22" s="10">
        <v>40</v>
      </c>
      <c r="K22" s="5">
        <v>39</v>
      </c>
      <c r="L22" s="5"/>
      <c r="M22" s="5">
        <v>47</v>
      </c>
      <c r="N22" s="5">
        <v>40</v>
      </c>
      <c r="O22" s="5">
        <v>37</v>
      </c>
      <c r="P22" s="5">
        <v>45</v>
      </c>
      <c r="Q22" s="5">
        <v>46</v>
      </c>
      <c r="R22" s="5">
        <v>40</v>
      </c>
      <c r="S22" s="5">
        <v>44</v>
      </c>
      <c r="T22" s="5">
        <v>42</v>
      </c>
      <c r="U22" s="8">
        <v>47</v>
      </c>
    </row>
    <row r="23" spans="1:21" x14ac:dyDescent="0.25">
      <c r="A23" s="3">
        <v>35</v>
      </c>
      <c r="B23" s="5" t="s">
        <v>96</v>
      </c>
      <c r="C23" s="5">
        <v>86</v>
      </c>
      <c r="D23" s="5">
        <v>81</v>
      </c>
      <c r="E23" s="5" t="s">
        <v>23</v>
      </c>
      <c r="F23" s="5">
        <v>85</v>
      </c>
      <c r="G23" s="5">
        <v>27</v>
      </c>
      <c r="H23" s="8">
        <v>46</v>
      </c>
      <c r="J23" s="10">
        <v>35</v>
      </c>
      <c r="K23" s="5">
        <v>38</v>
      </c>
      <c r="L23" s="5">
        <v>30</v>
      </c>
      <c r="M23" s="5">
        <v>46</v>
      </c>
      <c r="N23" s="5"/>
      <c r="O23" s="5">
        <v>36</v>
      </c>
      <c r="P23" s="5"/>
      <c r="Q23" s="5">
        <v>45</v>
      </c>
      <c r="R23" s="5">
        <v>39</v>
      </c>
      <c r="S23" s="5">
        <v>43</v>
      </c>
      <c r="T23" s="5">
        <v>41</v>
      </c>
      <c r="U23" s="8">
        <v>46</v>
      </c>
    </row>
    <row r="24" spans="1:21" x14ac:dyDescent="0.25">
      <c r="A24" s="3">
        <v>30</v>
      </c>
      <c r="B24" s="5">
        <v>67</v>
      </c>
      <c r="C24" s="5">
        <v>85</v>
      </c>
      <c r="D24" s="5" t="s">
        <v>81</v>
      </c>
      <c r="E24" s="5">
        <v>83</v>
      </c>
      <c r="F24" s="5" t="s">
        <v>79</v>
      </c>
      <c r="G24" s="5" t="s">
        <v>133</v>
      </c>
      <c r="H24" s="8">
        <v>44</v>
      </c>
      <c r="J24" s="10">
        <v>30</v>
      </c>
      <c r="K24" s="5">
        <v>37</v>
      </c>
      <c r="L24" s="5">
        <v>29</v>
      </c>
      <c r="M24" s="5"/>
      <c r="N24" s="5">
        <v>39</v>
      </c>
      <c r="O24" s="5">
        <v>35</v>
      </c>
      <c r="P24" s="5">
        <v>44</v>
      </c>
      <c r="Q24" s="5"/>
      <c r="R24" s="5">
        <v>38</v>
      </c>
      <c r="S24" s="5">
        <v>42</v>
      </c>
      <c r="T24" s="5">
        <v>40</v>
      </c>
      <c r="U24" s="8">
        <v>44</v>
      </c>
    </row>
    <row r="25" spans="1:21" x14ac:dyDescent="0.25">
      <c r="A25" s="3"/>
      <c r="B25" s="5"/>
      <c r="C25" s="5"/>
      <c r="D25" s="5"/>
      <c r="E25" s="5"/>
      <c r="F25" s="5"/>
      <c r="G25" s="5"/>
      <c r="H25" s="8"/>
      <c r="J25" s="10"/>
      <c r="K25" s="5"/>
      <c r="L25" s="5"/>
      <c r="M25" s="5"/>
      <c r="N25" s="5"/>
      <c r="O25" s="5"/>
      <c r="P25" s="5"/>
      <c r="Q25" s="5"/>
      <c r="R25" s="5"/>
      <c r="S25" s="5"/>
      <c r="T25" s="5"/>
      <c r="U25" s="8"/>
    </row>
    <row r="26" spans="1:21" x14ac:dyDescent="0.25">
      <c r="A26" s="3">
        <v>25</v>
      </c>
      <c r="B26" s="5" t="s">
        <v>97</v>
      </c>
      <c r="C26" s="5">
        <v>84</v>
      </c>
      <c r="D26" s="5">
        <v>78</v>
      </c>
      <c r="E26" s="5" t="s">
        <v>80</v>
      </c>
      <c r="F26" s="5">
        <v>82</v>
      </c>
      <c r="G26" s="5">
        <v>24</v>
      </c>
      <c r="H26" s="8">
        <v>43</v>
      </c>
      <c r="J26" s="10">
        <v>25</v>
      </c>
      <c r="K26" s="5">
        <v>36</v>
      </c>
      <c r="L26" s="5">
        <v>28</v>
      </c>
      <c r="M26" s="5">
        <v>45</v>
      </c>
      <c r="N26" s="5">
        <v>38</v>
      </c>
      <c r="O26" s="5" t="s">
        <v>149</v>
      </c>
      <c r="P26" s="5">
        <v>43</v>
      </c>
      <c r="Q26" s="5">
        <v>44</v>
      </c>
      <c r="R26" s="5">
        <v>37</v>
      </c>
      <c r="S26" s="5">
        <v>41</v>
      </c>
      <c r="T26" s="5">
        <v>39</v>
      </c>
      <c r="U26" s="8">
        <v>43</v>
      </c>
    </row>
    <row r="27" spans="1:21" x14ac:dyDescent="0.25">
      <c r="A27" s="3">
        <v>20</v>
      </c>
      <c r="B27" s="5" t="s">
        <v>98</v>
      </c>
      <c r="C27" s="5" t="s">
        <v>24</v>
      </c>
      <c r="D27" s="5" t="s">
        <v>54</v>
      </c>
      <c r="E27" s="5" t="s">
        <v>107</v>
      </c>
      <c r="F27" s="5" t="s">
        <v>25</v>
      </c>
      <c r="G27" s="5">
        <v>23</v>
      </c>
      <c r="H27" s="8">
        <v>42</v>
      </c>
      <c r="J27" s="10">
        <v>20</v>
      </c>
      <c r="K27" s="5" t="s">
        <v>132</v>
      </c>
      <c r="L27" s="5"/>
      <c r="M27" s="5">
        <v>44</v>
      </c>
      <c r="N27" s="5">
        <v>37</v>
      </c>
      <c r="O27" s="5">
        <v>32</v>
      </c>
      <c r="P27" s="5">
        <v>42</v>
      </c>
      <c r="Q27" s="5" t="s">
        <v>159</v>
      </c>
      <c r="R27" s="5" t="s">
        <v>167</v>
      </c>
      <c r="S27" s="5">
        <v>40</v>
      </c>
      <c r="T27" s="5">
        <v>38</v>
      </c>
      <c r="U27" s="8">
        <v>42</v>
      </c>
    </row>
    <row r="28" spans="1:21" x14ac:dyDescent="0.25">
      <c r="A28" s="3">
        <v>15</v>
      </c>
      <c r="B28" s="5" t="s">
        <v>30</v>
      </c>
      <c r="C28" s="5">
        <v>81</v>
      </c>
      <c r="D28" s="5" t="s">
        <v>55</v>
      </c>
      <c r="E28" s="5" t="s">
        <v>108</v>
      </c>
      <c r="F28" s="5" t="s">
        <v>70</v>
      </c>
      <c r="G28" s="5" t="s">
        <v>134</v>
      </c>
      <c r="H28" s="8">
        <v>40</v>
      </c>
      <c r="J28" s="10">
        <v>15</v>
      </c>
      <c r="K28" s="5">
        <v>33</v>
      </c>
      <c r="L28" s="5">
        <v>27</v>
      </c>
      <c r="M28" s="5">
        <v>43</v>
      </c>
      <c r="N28" s="5">
        <v>36</v>
      </c>
      <c r="O28" s="5">
        <v>31</v>
      </c>
      <c r="P28" s="5">
        <v>41</v>
      </c>
      <c r="Q28" s="5">
        <v>41</v>
      </c>
      <c r="R28" s="5" t="s">
        <v>149</v>
      </c>
      <c r="S28" s="5">
        <v>39</v>
      </c>
      <c r="T28" s="5">
        <v>37</v>
      </c>
      <c r="U28" s="8">
        <v>40</v>
      </c>
    </row>
    <row r="29" spans="1:21" x14ac:dyDescent="0.25">
      <c r="A29" s="3">
        <v>10</v>
      </c>
      <c r="B29" s="5" t="s">
        <v>99</v>
      </c>
      <c r="C29" s="5" t="s">
        <v>107</v>
      </c>
      <c r="D29" s="5" t="s">
        <v>56</v>
      </c>
      <c r="E29" s="5" t="s">
        <v>119</v>
      </c>
      <c r="F29" s="5" t="s">
        <v>125</v>
      </c>
      <c r="G29" s="5" t="s">
        <v>89</v>
      </c>
      <c r="H29" s="8">
        <v>37</v>
      </c>
      <c r="J29" s="10">
        <v>10</v>
      </c>
      <c r="K29" s="5" t="s">
        <v>139</v>
      </c>
      <c r="L29" s="5" t="s">
        <v>133</v>
      </c>
      <c r="M29" s="5" t="s">
        <v>146</v>
      </c>
      <c r="N29" s="5">
        <v>35</v>
      </c>
      <c r="O29" s="5" t="s">
        <v>153</v>
      </c>
      <c r="P29" s="5" t="s">
        <v>142</v>
      </c>
      <c r="Q29" s="5" t="s">
        <v>160</v>
      </c>
      <c r="R29" s="5" t="s">
        <v>168</v>
      </c>
      <c r="S29" s="5" t="s">
        <v>86</v>
      </c>
      <c r="T29" s="5">
        <v>36</v>
      </c>
      <c r="U29" s="8">
        <v>37</v>
      </c>
    </row>
    <row r="30" spans="1:21" x14ac:dyDescent="0.25">
      <c r="A30" s="3">
        <v>5</v>
      </c>
      <c r="B30" s="5" t="s">
        <v>100</v>
      </c>
      <c r="C30" s="5" t="s">
        <v>108</v>
      </c>
      <c r="D30" s="5" t="s">
        <v>113</v>
      </c>
      <c r="E30" s="5" t="s">
        <v>120</v>
      </c>
      <c r="F30" s="5" t="s">
        <v>45</v>
      </c>
      <c r="G30" s="5">
        <v>18</v>
      </c>
      <c r="H30" s="8">
        <v>34</v>
      </c>
      <c r="J30" s="10">
        <v>5</v>
      </c>
      <c r="K30" s="5" t="s">
        <v>140</v>
      </c>
      <c r="L30" s="5">
        <v>24</v>
      </c>
      <c r="M30" s="5">
        <v>40</v>
      </c>
      <c r="N30" s="5" t="s">
        <v>149</v>
      </c>
      <c r="O30" s="5" t="s">
        <v>154</v>
      </c>
      <c r="P30" s="5" t="s">
        <v>86</v>
      </c>
      <c r="Q30" s="5" t="s">
        <v>161</v>
      </c>
      <c r="R30" s="5" t="s">
        <v>153</v>
      </c>
      <c r="S30" s="5" t="s">
        <v>170</v>
      </c>
      <c r="T30" s="5" t="s">
        <v>132</v>
      </c>
      <c r="U30" s="8">
        <v>34</v>
      </c>
    </row>
    <row r="31" spans="1:21" x14ac:dyDescent="0.25">
      <c r="A31" s="3">
        <v>4</v>
      </c>
      <c r="B31" s="5">
        <v>53</v>
      </c>
      <c r="C31" s="5">
        <v>74</v>
      </c>
      <c r="D31" s="5" t="s">
        <v>28</v>
      </c>
      <c r="E31" s="5" t="s">
        <v>29</v>
      </c>
      <c r="F31" s="5" t="s">
        <v>126</v>
      </c>
      <c r="G31" s="5">
        <v>17</v>
      </c>
      <c r="H31" s="8">
        <v>32</v>
      </c>
      <c r="J31" s="10">
        <v>4</v>
      </c>
      <c r="K31" s="5">
        <v>27</v>
      </c>
      <c r="L31" s="5">
        <v>23</v>
      </c>
      <c r="M31" s="5">
        <v>39</v>
      </c>
      <c r="N31" s="5">
        <v>32</v>
      </c>
      <c r="O31" s="5">
        <v>25</v>
      </c>
      <c r="P31" s="5">
        <v>36</v>
      </c>
      <c r="Q31" s="5">
        <v>34</v>
      </c>
      <c r="R31" s="5">
        <v>27</v>
      </c>
      <c r="S31" s="5"/>
      <c r="T31" s="5"/>
      <c r="U31" s="8">
        <v>32</v>
      </c>
    </row>
    <row r="32" spans="1:21" x14ac:dyDescent="0.25">
      <c r="A32" s="3">
        <v>3</v>
      </c>
      <c r="B32" s="5" t="s">
        <v>101</v>
      </c>
      <c r="C32" s="5">
        <v>73</v>
      </c>
      <c r="D32" s="5" t="s">
        <v>114</v>
      </c>
      <c r="E32" s="5" t="s">
        <v>30</v>
      </c>
      <c r="F32" s="5">
        <v>69</v>
      </c>
      <c r="G32" s="5">
        <v>16</v>
      </c>
      <c r="H32" s="8">
        <v>31</v>
      </c>
      <c r="J32" s="10">
        <v>3</v>
      </c>
      <c r="K32" s="5"/>
      <c r="L32" s="5"/>
      <c r="M32" s="5"/>
      <c r="N32" s="5">
        <v>31</v>
      </c>
      <c r="O32" s="5"/>
      <c r="P32" s="5">
        <v>35</v>
      </c>
      <c r="Q32" s="5" t="s">
        <v>162</v>
      </c>
      <c r="R32" s="5">
        <v>26</v>
      </c>
      <c r="S32" s="5" t="s">
        <v>162</v>
      </c>
      <c r="T32" s="5">
        <v>33</v>
      </c>
      <c r="U32" s="8">
        <v>31</v>
      </c>
    </row>
    <row r="33" spans="1:21" x14ac:dyDescent="0.25">
      <c r="A33" s="3">
        <v>2</v>
      </c>
      <c r="B33" s="5">
        <v>50</v>
      </c>
      <c r="C33" s="5" t="s">
        <v>95</v>
      </c>
      <c r="D33" s="5" t="s">
        <v>115</v>
      </c>
      <c r="E33" s="5" t="s">
        <v>121</v>
      </c>
      <c r="F33" s="5" t="s">
        <v>127</v>
      </c>
      <c r="G33" s="5">
        <v>15</v>
      </c>
      <c r="H33" s="8">
        <v>29</v>
      </c>
      <c r="J33" s="10">
        <v>2</v>
      </c>
      <c r="K33" s="5" t="s">
        <v>133</v>
      </c>
      <c r="L33" s="5">
        <v>22</v>
      </c>
      <c r="M33" s="5" t="s">
        <v>86</v>
      </c>
      <c r="N33" s="5">
        <v>30</v>
      </c>
      <c r="O33" s="5" t="s">
        <v>155</v>
      </c>
      <c r="P33" s="5" t="s">
        <v>149</v>
      </c>
      <c r="Q33" s="5" t="s">
        <v>163</v>
      </c>
      <c r="R33" s="5" t="s">
        <v>87</v>
      </c>
      <c r="S33" s="5">
        <v>31</v>
      </c>
      <c r="T33" s="5">
        <v>32</v>
      </c>
      <c r="U33" s="8">
        <v>29</v>
      </c>
    </row>
    <row r="34" spans="1:21" x14ac:dyDescent="0.25">
      <c r="A34" s="4">
        <v>1</v>
      </c>
      <c r="B34" s="6" t="s">
        <v>102</v>
      </c>
      <c r="C34" s="6" t="s">
        <v>109</v>
      </c>
      <c r="D34" s="6" t="s">
        <v>116</v>
      </c>
      <c r="E34" s="6" t="s">
        <v>122</v>
      </c>
      <c r="F34" s="6" t="s">
        <v>122</v>
      </c>
      <c r="G34" s="7" t="s">
        <v>135</v>
      </c>
      <c r="H34" s="9">
        <v>27</v>
      </c>
      <c r="J34" s="11">
        <v>1</v>
      </c>
      <c r="K34" s="7" t="s">
        <v>144</v>
      </c>
      <c r="L34" s="7" t="s">
        <v>143</v>
      </c>
      <c r="M34" s="7" t="s">
        <v>147</v>
      </c>
      <c r="N34" s="6" t="s">
        <v>150</v>
      </c>
      <c r="O34" s="6" t="s">
        <v>156</v>
      </c>
      <c r="P34" s="7" t="s">
        <v>157</v>
      </c>
      <c r="Q34" s="6" t="s">
        <v>164</v>
      </c>
      <c r="R34" s="6" t="s">
        <v>169</v>
      </c>
      <c r="S34" s="6" t="s">
        <v>171</v>
      </c>
      <c r="T34" s="6" t="s">
        <v>172</v>
      </c>
      <c r="U34" s="9">
        <v>27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5"/>
  <sheetViews>
    <sheetView showGridLines="0" workbookViewId="0">
      <selection activeCell="A3" sqref="A3"/>
    </sheetView>
  </sheetViews>
  <sheetFormatPr baseColWidth="10" defaultRowHeight="15" x14ac:dyDescent="0.25"/>
  <sheetData>
    <row r="3" spans="1:1" x14ac:dyDescent="0.25">
      <c r="A3" t="s">
        <v>196</v>
      </c>
    </row>
    <row r="5" spans="1:1" ht="1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Plantilla de calificación</vt:lpstr>
      <vt:lpstr>Puntuacione directas mujeres</vt:lpstr>
      <vt:lpstr>Puntuaciones directas hombres</vt:lpstr>
      <vt:lpstr>Descripción</vt:lpstr>
    </vt:vector>
  </TitlesOfParts>
  <Company>UNAH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SEDP</dc:creator>
  <cp:lastModifiedBy>Tessy Maricela Solórzano Flores</cp:lastModifiedBy>
  <dcterms:created xsi:type="dcterms:W3CDTF">2014-06-30T19:20:27Z</dcterms:created>
  <dcterms:modified xsi:type="dcterms:W3CDTF">2025-03-10T16:35:29Z</dcterms:modified>
</cp:coreProperties>
</file>